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lipeFigueira\Desktop\doris\docs\"/>
    </mc:Choice>
  </mc:AlternateContent>
  <xr:revisionPtr revIDLastSave="0" documentId="8_{CF6CE15D-201F-429C-9C06-2E7D2D617101}" xr6:coauthVersionLast="47" xr6:coauthVersionMax="47" xr10:uidLastSave="{00000000-0000-0000-0000-000000000000}"/>
  <bookViews>
    <workbookView xWindow="-108" yWindow="-108" windowWidth="23256" windowHeight="12456" firstSheet="10" activeTab="10" xr2:uid="{00000000-000D-0000-FFFF-FFFF00000000}"/>
  </bookViews>
  <sheets>
    <sheet name="Planilha1" sheetId="3" state="hidden" r:id="rId1"/>
    <sheet name="Resumo" sheetId="6" r:id="rId2"/>
    <sheet name="Overview (2)" sheetId="11" r:id="rId3"/>
    <sheet name="Overview" sheetId="1" state="hidden" r:id="rId4"/>
    <sheet name="Sep.25" sheetId="2" state="hidden" r:id="rId5"/>
    <sheet name="Oct.25" sheetId="4" state="hidden" r:id="rId6"/>
    <sheet name="Nov.25" sheetId="5" state="hidden" r:id="rId7"/>
    <sheet name="Dez.25 " sheetId="7" state="hidden" r:id="rId8"/>
    <sheet name="Jan.26" sheetId="8" r:id="rId9"/>
    <sheet name="Feb.26" sheetId="9" r:id="rId10"/>
    <sheet name="Mar.26" sheetId="12" r:id="rId11"/>
  </sheets>
  <definedNames>
    <definedName name="_xlnm._FilterDatabase" localSheetId="8" hidden="1">Jan.26!$A$1:$X$1</definedName>
    <definedName name="_xlnm._FilterDatabase" localSheetId="4" hidden="1">Sep.25!$A$1:$J$1</definedName>
  </definedNames>
  <calcPr calcId="191028"/>
  <pivotCaches>
    <pivotCache cacheId="0" r:id="rId12"/>
    <pivotCache cacheId="1" r:id="rId13"/>
    <pivotCache cacheId="2" r:id="rId14"/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2" i="11" l="1"/>
  <c r="AO12" i="11"/>
  <c r="D19" i="12"/>
  <c r="W5" i="11"/>
  <c r="V35" i="11"/>
  <c r="F8" i="6"/>
  <c r="W4" i="11"/>
  <c r="M8" i="6"/>
  <c r="AO4" i="11"/>
  <c r="AP13" i="11"/>
  <c r="Q13" i="11"/>
  <c r="AO13" i="11" s="1"/>
  <c r="K13" i="11"/>
  <c r="J13" i="11"/>
  <c r="O8" i="6"/>
  <c r="W34" i="11"/>
  <c r="Y27" i="11"/>
  <c r="AC27" i="11"/>
  <c r="AG27" i="11"/>
  <c r="AP4" i="11"/>
  <c r="AM27" i="11"/>
  <c r="U5" i="11"/>
  <c r="U31" i="1"/>
  <c r="D12" i="6"/>
  <c r="U3" i="1"/>
  <c r="U34" i="11"/>
  <c r="F12" i="6"/>
  <c r="E12" i="6"/>
  <c r="D8" i="6"/>
  <c r="C8" i="6"/>
  <c r="S36" i="11"/>
  <c r="S34" i="11"/>
  <c r="S7" i="11"/>
  <c r="Q36" i="11"/>
  <c r="Q34" i="11"/>
  <c r="AP42" i="11"/>
  <c r="AO42" i="11"/>
  <c r="K41" i="11"/>
  <c r="J41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I40" i="11"/>
  <c r="H40" i="11"/>
  <c r="G40" i="11"/>
  <c r="F40" i="11"/>
  <c r="E40" i="11"/>
  <c r="D40" i="11"/>
  <c r="C40" i="11"/>
  <c r="K40" i="11" s="1"/>
  <c r="B40" i="11"/>
  <c r="J40" i="11" s="1"/>
  <c r="AP38" i="11"/>
  <c r="AO38" i="11"/>
  <c r="AP37" i="11"/>
  <c r="AO37" i="11"/>
  <c r="K37" i="11"/>
  <c r="J37" i="11"/>
  <c r="AP36" i="11"/>
  <c r="AO36" i="11"/>
  <c r="K36" i="11"/>
  <c r="J36" i="11"/>
  <c r="AP35" i="11"/>
  <c r="AO35" i="11"/>
  <c r="K35" i="11"/>
  <c r="J35" i="11"/>
  <c r="AP34" i="11"/>
  <c r="AO34" i="11"/>
  <c r="J34" i="11"/>
  <c r="I34" i="11"/>
  <c r="K34" i="11" s="1"/>
  <c r="AP33" i="11"/>
  <c r="AO33" i="11"/>
  <c r="K33" i="11"/>
  <c r="J33" i="11"/>
  <c r="AP32" i="11"/>
  <c r="AO32" i="11"/>
  <c r="K32" i="11"/>
  <c r="J32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K31" i="11"/>
  <c r="J31" i="11"/>
  <c r="I31" i="11"/>
  <c r="H31" i="11"/>
  <c r="G31" i="11"/>
  <c r="F31" i="11"/>
  <c r="E31" i="11"/>
  <c r="D31" i="11"/>
  <c r="C31" i="11"/>
  <c r="B31" i="11"/>
  <c r="AP29" i="11"/>
  <c r="AO29" i="11"/>
  <c r="AP28" i="11"/>
  <c r="AO28" i="11"/>
  <c r="K28" i="11"/>
  <c r="F28" i="11"/>
  <c r="J28" i="11" s="1"/>
  <c r="AP27" i="11"/>
  <c r="K27" i="11"/>
  <c r="J27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I26" i="11"/>
  <c r="H26" i="11"/>
  <c r="G26" i="11"/>
  <c r="F26" i="11"/>
  <c r="E26" i="11"/>
  <c r="D26" i="11"/>
  <c r="C26" i="11"/>
  <c r="K26" i="11" s="1"/>
  <c r="B26" i="11"/>
  <c r="J26" i="11" s="1"/>
  <c r="AP22" i="11"/>
  <c r="AO22" i="11"/>
  <c r="K22" i="11"/>
  <c r="J22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I21" i="11"/>
  <c r="H21" i="11"/>
  <c r="G21" i="11"/>
  <c r="F21" i="11"/>
  <c r="E21" i="11"/>
  <c r="D21" i="11"/>
  <c r="C21" i="11"/>
  <c r="K21" i="11" s="1"/>
  <c r="B21" i="11"/>
  <c r="J21" i="11" s="1"/>
  <c r="AP19" i="11"/>
  <c r="AO19" i="11"/>
  <c r="K19" i="11"/>
  <c r="J19" i="11"/>
  <c r="AP18" i="11"/>
  <c r="AO18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K17" i="11"/>
  <c r="J17" i="11"/>
  <c r="I17" i="11"/>
  <c r="H17" i="11"/>
  <c r="G17" i="11"/>
  <c r="F17" i="11"/>
  <c r="E17" i="11"/>
  <c r="D17" i="11"/>
  <c r="C17" i="11"/>
  <c r="B17" i="11"/>
  <c r="K15" i="11"/>
  <c r="J15" i="11"/>
  <c r="K14" i="11"/>
  <c r="J14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I12" i="11"/>
  <c r="H12" i="11"/>
  <c r="G12" i="11"/>
  <c r="F12" i="11"/>
  <c r="E12" i="11"/>
  <c r="D12" i="11"/>
  <c r="C12" i="11"/>
  <c r="K12" i="11" s="1"/>
  <c r="B12" i="11"/>
  <c r="J12" i="11" s="1"/>
  <c r="AP10" i="11"/>
  <c r="AO10" i="11"/>
  <c r="AP9" i="11"/>
  <c r="AO9" i="11"/>
  <c r="K9" i="11"/>
  <c r="J9" i="11"/>
  <c r="AP8" i="11"/>
  <c r="AO8" i="11"/>
  <c r="K8" i="11"/>
  <c r="J8" i="11"/>
  <c r="R7" i="11"/>
  <c r="K7" i="11"/>
  <c r="J7" i="11"/>
  <c r="AP6" i="11"/>
  <c r="AO6" i="11"/>
  <c r="K6" i="11"/>
  <c r="J6" i="11"/>
  <c r="AN5" i="11"/>
  <c r="AN3" i="11" s="1"/>
  <c r="N5" i="6" s="1"/>
  <c r="N9" i="6" s="1"/>
  <c r="AM5" i="11"/>
  <c r="AL5" i="11"/>
  <c r="AL3" i="11" s="1"/>
  <c r="M5" i="6" s="1"/>
  <c r="M9" i="6" s="1"/>
  <c r="AK5" i="11"/>
  <c r="AJ5" i="11"/>
  <c r="AI5" i="11"/>
  <c r="AH5" i="11"/>
  <c r="AG5" i="11"/>
  <c r="AF5" i="11"/>
  <c r="AF3" i="11" s="1"/>
  <c r="J5" i="6" s="1"/>
  <c r="J9" i="6" s="1"/>
  <c r="AE5" i="11"/>
  <c r="AD5" i="11"/>
  <c r="AD3" i="11" s="1"/>
  <c r="I5" i="6" s="1"/>
  <c r="I9" i="6" s="1"/>
  <c r="AC5" i="11"/>
  <c r="AB5" i="11"/>
  <c r="AA5" i="11"/>
  <c r="Z5" i="11"/>
  <c r="Y5" i="11"/>
  <c r="X5" i="11"/>
  <c r="V5" i="11"/>
  <c r="V3" i="11" s="1"/>
  <c r="E5" i="6" s="1"/>
  <c r="E9" i="6" s="1"/>
  <c r="T5" i="11"/>
  <c r="T3" i="11" s="1"/>
  <c r="D5" i="6" s="1"/>
  <c r="S5" i="11"/>
  <c r="D4" i="6" s="1"/>
  <c r="R5" i="11"/>
  <c r="R3" i="11" s="1"/>
  <c r="C5" i="6" s="1"/>
  <c r="I5" i="11"/>
  <c r="H5" i="11"/>
  <c r="G5" i="11"/>
  <c r="F5" i="11"/>
  <c r="E5" i="11"/>
  <c r="D5" i="11"/>
  <c r="C5" i="11"/>
  <c r="K5" i="11" s="1"/>
  <c r="B5" i="11"/>
  <c r="J5" i="11" s="1"/>
  <c r="AN48" i="11"/>
  <c r="AM3" i="11"/>
  <c r="N4" i="6" s="1"/>
  <c r="AL48" i="11"/>
  <c r="AF48" i="11"/>
  <c r="AD48" i="11"/>
  <c r="R48" i="11"/>
  <c r="I3" i="11"/>
  <c r="H3" i="11"/>
  <c r="G3" i="11"/>
  <c r="F3" i="11"/>
  <c r="E3" i="11"/>
  <c r="D3" i="11"/>
  <c r="C3" i="11"/>
  <c r="K3" i="11" s="1"/>
  <c r="B3" i="11"/>
  <c r="J3" i="11" s="1"/>
  <c r="N3" i="11" s="1"/>
  <c r="R7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Q3" i="1"/>
  <c r="AQ44" i="1"/>
  <c r="AP42" i="1"/>
  <c r="AO42" i="1"/>
  <c r="AP44" i="1"/>
  <c r="AO44" i="1"/>
  <c r="AE4" i="1"/>
  <c r="AG4" i="1"/>
  <c r="AI4" i="1"/>
  <c r="AK4" i="1"/>
  <c r="AM4" i="1"/>
  <c r="AA4" i="1"/>
  <c r="U4" i="1"/>
  <c r="W4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S3" i="1" s="1"/>
  <c r="W27" i="1"/>
  <c r="K31" i="1"/>
  <c r="J31" i="1"/>
  <c r="I31" i="1"/>
  <c r="H31" i="1"/>
  <c r="G31" i="1"/>
  <c r="F31" i="1"/>
  <c r="E31" i="1"/>
  <c r="D31" i="1"/>
  <c r="C31" i="1"/>
  <c r="AP36" i="1"/>
  <c r="AO36" i="1"/>
  <c r="K36" i="1"/>
  <c r="J36" i="1"/>
  <c r="R12" i="1"/>
  <c r="AM27" i="1"/>
  <c r="AK27" i="1"/>
  <c r="AI27" i="1"/>
  <c r="AG27" i="1"/>
  <c r="AE27" i="1"/>
  <c r="Y27" i="1"/>
  <c r="AP38" i="1"/>
  <c r="AP37" i="1"/>
  <c r="AP35" i="1"/>
  <c r="AP34" i="1"/>
  <c r="AP33" i="1"/>
  <c r="AP32" i="1"/>
  <c r="AP29" i="1"/>
  <c r="AP28" i="1"/>
  <c r="AP27" i="1"/>
  <c r="AP22" i="1"/>
  <c r="AP19" i="1"/>
  <c r="AP18" i="1"/>
  <c r="AP13" i="1"/>
  <c r="AP12" i="1" s="1"/>
  <c r="AP10" i="1"/>
  <c r="AP9" i="1"/>
  <c r="AP8" i="1"/>
  <c r="AP7" i="1"/>
  <c r="AP6" i="1"/>
  <c r="R5" i="1"/>
  <c r="I34" i="1"/>
  <c r="Q5" i="1"/>
  <c r="S5" i="1"/>
  <c r="T5" i="1"/>
  <c r="T3" i="1" s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O38" i="1"/>
  <c r="AO29" i="1"/>
  <c r="AO28" i="1"/>
  <c r="AO27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AO13" i="1"/>
  <c r="AO12" i="1" s="1"/>
  <c r="AO26" i="1"/>
  <c r="AB31" i="1"/>
  <c r="AA31" i="1"/>
  <c r="Z31" i="1"/>
  <c r="Y31" i="1"/>
  <c r="X31" i="1"/>
  <c r="W31" i="1"/>
  <c r="V31" i="1"/>
  <c r="T31" i="1"/>
  <c r="S31" i="1"/>
  <c r="R31" i="1"/>
  <c r="Q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O37" i="1"/>
  <c r="AO35" i="1"/>
  <c r="AO34" i="1"/>
  <c r="AO33" i="1"/>
  <c r="AO32" i="1"/>
  <c r="AO22" i="1"/>
  <c r="AO19" i="1"/>
  <c r="AO18" i="1"/>
  <c r="AN5" i="1"/>
  <c r="AP5" i="1" s="1"/>
  <c r="AM5" i="1"/>
  <c r="AO5" i="1"/>
  <c r="AO10" i="1"/>
  <c r="AO7" i="1"/>
  <c r="AO8" i="1"/>
  <c r="AO9" i="1"/>
  <c r="AO6" i="1"/>
  <c r="D20" i="4"/>
  <c r="AI3" i="11" l="1"/>
  <c r="C9" i="6"/>
  <c r="AP7" i="11"/>
  <c r="Q7" i="11"/>
  <c r="W3" i="11"/>
  <c r="Y3" i="11"/>
  <c r="G4" i="6" s="1"/>
  <c r="AE3" i="11"/>
  <c r="J4" i="6" s="1"/>
  <c r="AG3" i="11"/>
  <c r="K4" i="6" s="1"/>
  <c r="AH3" i="11"/>
  <c r="L4" i="6"/>
  <c r="AJ3" i="11"/>
  <c r="Z3" i="11"/>
  <c r="G5" i="6" s="1"/>
  <c r="G9" i="6" s="1"/>
  <c r="D9" i="6"/>
  <c r="AB3" i="11"/>
  <c r="AK3" i="11"/>
  <c r="M4" i="6" s="1"/>
  <c r="U3" i="11"/>
  <c r="E4" i="6"/>
  <c r="F4" i="6"/>
  <c r="X3" i="11"/>
  <c r="F5" i="6" s="1"/>
  <c r="F9" i="6" s="1"/>
  <c r="C12" i="6"/>
  <c r="F13" i="6"/>
  <c r="F14" i="6" s="1"/>
  <c r="AA3" i="11"/>
  <c r="H4" i="6" s="1"/>
  <c r="AC3" i="11"/>
  <c r="I4" i="6" s="1"/>
  <c r="E13" i="6" s="1"/>
  <c r="D13" i="6"/>
  <c r="AA48" i="11"/>
  <c r="AC48" i="11"/>
  <c r="AE48" i="11"/>
  <c r="AG48" i="11"/>
  <c r="AI48" i="11"/>
  <c r="AK48" i="11"/>
  <c r="AM48" i="11"/>
  <c r="AP5" i="11"/>
  <c r="AO17" i="11"/>
  <c r="AP17" i="11"/>
  <c r="AO21" i="11"/>
  <c r="AP21" i="11"/>
  <c r="AO26" i="11"/>
  <c r="AP26" i="11"/>
  <c r="AO27" i="11"/>
  <c r="AO31" i="11"/>
  <c r="AP31" i="11"/>
  <c r="AO40" i="11"/>
  <c r="AP40" i="11"/>
  <c r="AP31" i="1"/>
  <c r="AP26" i="1"/>
  <c r="AO31" i="1"/>
  <c r="AO3" i="1" s="1"/>
  <c r="AQ1" i="1" s="1"/>
  <c r="R40" i="1"/>
  <c r="Q40" i="1"/>
  <c r="R21" i="1"/>
  <c r="Q21" i="1"/>
  <c r="R17" i="1"/>
  <c r="Q17" i="1"/>
  <c r="Q12" i="1"/>
  <c r="T40" i="1"/>
  <c r="S40" i="1"/>
  <c r="T21" i="1"/>
  <c r="S21" i="1"/>
  <c r="T17" i="1"/>
  <c r="S17" i="1"/>
  <c r="V40" i="1"/>
  <c r="U40" i="1"/>
  <c r="V21" i="1"/>
  <c r="U21" i="1"/>
  <c r="V17" i="1"/>
  <c r="U17" i="1"/>
  <c r="X40" i="1"/>
  <c r="W40" i="1"/>
  <c r="X21" i="1"/>
  <c r="W21" i="1"/>
  <c r="X17" i="1"/>
  <c r="W17" i="1"/>
  <c r="Z40" i="1"/>
  <c r="Y40" i="1"/>
  <c r="Z21" i="1"/>
  <c r="Y21" i="1"/>
  <c r="Z17" i="1"/>
  <c r="Y17" i="1"/>
  <c r="Y4" i="1"/>
  <c r="AB40" i="1"/>
  <c r="AA40" i="1"/>
  <c r="AB21" i="1"/>
  <c r="AA21" i="1"/>
  <c r="AB17" i="1"/>
  <c r="AA17" i="1"/>
  <c r="AD40" i="1"/>
  <c r="AC40" i="1"/>
  <c r="AD21" i="1"/>
  <c r="AC21" i="1"/>
  <c r="AD17" i="1"/>
  <c r="AC17" i="1"/>
  <c r="AC4" i="1"/>
  <c r="AF40" i="1"/>
  <c r="AE40" i="1"/>
  <c r="AF21" i="1"/>
  <c r="AE21" i="1"/>
  <c r="AF17" i="1"/>
  <c r="AE17" i="1"/>
  <c r="AN40" i="1"/>
  <c r="AM40" i="1"/>
  <c r="AL40" i="1"/>
  <c r="AK40" i="1"/>
  <c r="AJ40" i="1"/>
  <c r="AI40" i="1"/>
  <c r="AH40" i="1"/>
  <c r="AG40" i="1"/>
  <c r="AN21" i="1"/>
  <c r="AM21" i="1"/>
  <c r="AL21" i="1"/>
  <c r="AK21" i="1"/>
  <c r="AJ21" i="1"/>
  <c r="AI21" i="1"/>
  <c r="AH21" i="1"/>
  <c r="AG21" i="1"/>
  <c r="AN17" i="1"/>
  <c r="AM17" i="1"/>
  <c r="AL17" i="1"/>
  <c r="AK17" i="1"/>
  <c r="AJ17" i="1"/>
  <c r="AI17" i="1"/>
  <c r="AH17" i="1"/>
  <c r="AG17" i="1"/>
  <c r="E5" i="1"/>
  <c r="J27" i="1"/>
  <c r="I17" i="1"/>
  <c r="H17" i="1"/>
  <c r="G17" i="1"/>
  <c r="F17" i="1"/>
  <c r="E17" i="1"/>
  <c r="D17" i="1"/>
  <c r="C17" i="1"/>
  <c r="B17" i="1"/>
  <c r="K35" i="1"/>
  <c r="J35" i="1"/>
  <c r="K34" i="1"/>
  <c r="J34" i="1"/>
  <c r="K41" i="1"/>
  <c r="J41" i="1"/>
  <c r="I40" i="1"/>
  <c r="H40" i="1"/>
  <c r="G40" i="1"/>
  <c r="F40" i="1"/>
  <c r="E40" i="1"/>
  <c r="D40" i="1"/>
  <c r="C40" i="1"/>
  <c r="B40" i="1"/>
  <c r="B26" i="1"/>
  <c r="F28" i="1"/>
  <c r="K28" i="1"/>
  <c r="K27" i="1"/>
  <c r="I26" i="1"/>
  <c r="H26" i="1"/>
  <c r="G26" i="1"/>
  <c r="F26" i="1"/>
  <c r="E26" i="1"/>
  <c r="C26" i="1"/>
  <c r="K26" i="1" s="1"/>
  <c r="I21" i="1"/>
  <c r="H21" i="1"/>
  <c r="G21" i="1"/>
  <c r="F21" i="1"/>
  <c r="E21" i="1"/>
  <c r="D21" i="1"/>
  <c r="C21" i="1"/>
  <c r="K21" i="1"/>
  <c r="B21" i="1"/>
  <c r="B31" i="1"/>
  <c r="I12" i="1"/>
  <c r="H12" i="1"/>
  <c r="G12" i="1"/>
  <c r="F12" i="1"/>
  <c r="E12" i="1"/>
  <c r="D12" i="1"/>
  <c r="C12" i="1"/>
  <c r="B12" i="1"/>
  <c r="I5" i="1"/>
  <c r="I3" i="1" s="1"/>
  <c r="H5" i="1"/>
  <c r="G5" i="1"/>
  <c r="G3" i="1" s="1"/>
  <c r="F5" i="1"/>
  <c r="D5" i="1"/>
  <c r="C5" i="1"/>
  <c r="B5" i="1"/>
  <c r="K9" i="1"/>
  <c r="J9" i="1"/>
  <c r="K8" i="1"/>
  <c r="J8" i="1"/>
  <c r="K7" i="1"/>
  <c r="J7" i="1"/>
  <c r="K6" i="1"/>
  <c r="J6" i="1"/>
  <c r="K5" i="1"/>
  <c r="J5" i="1"/>
  <c r="K12" i="1"/>
  <c r="J12" i="1"/>
  <c r="K13" i="1"/>
  <c r="J13" i="1"/>
  <c r="K14" i="1"/>
  <c r="J14" i="1"/>
  <c r="K15" i="1"/>
  <c r="J15" i="1"/>
  <c r="K19" i="1"/>
  <c r="K17" i="1" s="1"/>
  <c r="J19" i="1"/>
  <c r="J17" i="1" s="1"/>
  <c r="J21" i="1"/>
  <c r="K22" i="1"/>
  <c r="J22" i="1"/>
  <c r="K40" i="1"/>
  <c r="K37" i="1"/>
  <c r="J37" i="1"/>
  <c r="K32" i="1"/>
  <c r="J32" i="1"/>
  <c r="K33" i="1"/>
  <c r="J33" i="1"/>
  <c r="G12" i="6" l="1"/>
  <c r="L5" i="6"/>
  <c r="L9" i="6" s="1"/>
  <c r="AJ48" i="11"/>
  <c r="K5" i="6"/>
  <c r="K9" i="6" s="1"/>
  <c r="AH48" i="11"/>
  <c r="AO7" i="11"/>
  <c r="Q5" i="11"/>
  <c r="H5" i="6"/>
  <c r="H9" i="6" s="1"/>
  <c r="AB48" i="11"/>
  <c r="D14" i="6"/>
  <c r="E14" i="6"/>
  <c r="AP3" i="11"/>
  <c r="AP48" i="11" s="1"/>
  <c r="AP40" i="1"/>
  <c r="R3" i="1"/>
  <c r="AP3" i="1"/>
  <c r="AP17" i="1"/>
  <c r="AP21" i="1"/>
  <c r="AP48" i="1"/>
  <c r="Q48" i="1"/>
  <c r="AL48" i="1"/>
  <c r="AN48" i="1"/>
  <c r="AH48" i="1"/>
  <c r="AJ48" i="1"/>
  <c r="AF48" i="1"/>
  <c r="AD48" i="1"/>
  <c r="AB48" i="1"/>
  <c r="AM48" i="1"/>
  <c r="AK48" i="1"/>
  <c r="AI48" i="1"/>
  <c r="AG48" i="1"/>
  <c r="AC48" i="1"/>
  <c r="AA48" i="1"/>
  <c r="R48" i="1"/>
  <c r="O5" i="6"/>
  <c r="N6" i="6"/>
  <c r="AO40" i="1"/>
  <c r="AO21" i="1"/>
  <c r="AO17" i="1"/>
  <c r="C3" i="1"/>
  <c r="E3" i="1"/>
  <c r="D26" i="1"/>
  <c r="J28" i="1"/>
  <c r="J40" i="1"/>
  <c r="D3" i="1"/>
  <c r="F3" i="1"/>
  <c r="E6" i="6" s="1"/>
  <c r="H3" i="1"/>
  <c r="F6" i="6" s="1"/>
  <c r="J26" i="1"/>
  <c r="B3" i="1"/>
  <c r="AO5" i="11" l="1"/>
  <c r="M6" i="6"/>
  <c r="L6" i="6"/>
  <c r="K6" i="6"/>
  <c r="I6" i="6"/>
  <c r="H6" i="6"/>
  <c r="K3" i="1"/>
  <c r="J3" i="1"/>
  <c r="N3" i="1"/>
  <c r="AO3" i="11" l="1"/>
  <c r="AQ1" i="11" s="1"/>
  <c r="C4" i="6"/>
  <c r="C13" i="6" s="1"/>
  <c r="Q48" i="11"/>
  <c r="AO48" i="11" s="1"/>
  <c r="AO49" i="11" s="1"/>
  <c r="D6" i="6"/>
  <c r="C6" i="6"/>
  <c r="C14" i="6" l="1"/>
  <c r="G14" i="6" s="1"/>
  <c r="G13" i="6"/>
  <c r="G6" i="6"/>
  <c r="O9" i="6" l="1"/>
  <c r="AE48" i="1"/>
  <c r="AO48" i="1" s="1"/>
  <c r="AO49" i="1" s="1"/>
  <c r="J6" i="6"/>
  <c r="O4" i="6"/>
  <c r="P4" i="6" s="1"/>
  <c r="O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tc={FEADEB66-BD92-4596-B92C-3CFF31508594}</author>
    <author>tc={1313C9D8-8C86-42D6-A1B5-14276E67A106}</author>
    <author>tc={3A2B6E44-0DFA-410F-8AF5-BE4E534ABDA8}</author>
    <author>tc={9AC44183-C2AB-4C30-904C-B38ABEFBC249}</author>
  </authors>
  <commentList>
    <comment ref="AM22" authorId="0" shapeId="0" xr:uid="{FEADEB66-BD92-4596-B92C-3CFF315085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Confra</t>
      </text>
    </comment>
    <comment ref="F24" authorId="1" shapeId="0" xr:uid="{1313C9D8-8C86-42D6-A1B5-14276E67A10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mesa + letreiro em acrílico e logo para eventos
</t>
      </text>
    </comment>
    <comment ref="F28" authorId="2" shapeId="0" xr:uid="{3A2B6E44-0DFA-410F-8AF5-BE4E534ABD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camisetas/camisas para time. Incluir na conta camisetas para Comercial para eventos na hora da cotação</t>
      </text>
    </comment>
    <comment ref="G36" authorId="3" shapeId="0" xr:uid="{9AC44183-C2AB-4C30-904C-B38ABEFBC2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181,83 - app que automatiza a integração de leads com fb webflow e o email mkt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tc={52E9F265-6CDA-407A-928E-E94A741A1473}</author>
    <author>tc={780EC849-4AEC-42C2-A765-A7D55ACC08E0}</author>
    <author>tc={2176C87C-C387-444B-94C1-D32ACF263477}</author>
    <author>tc={4C4FC3D1-3D0F-4F56-962F-11D7D668E760}</author>
    <author>tc={F582D93F-7C55-4BC4-B708-C4BC95ACA17E}</author>
  </authors>
  <commentList>
    <comment ref="AM22" authorId="0" shapeId="0" xr:uid="{52E9F265-6CDA-407A-928E-E94A741A14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Confra</t>
      </text>
    </comment>
    <comment ref="F24" authorId="1" shapeId="0" xr:uid="{780EC849-4AEC-42C2-A765-A7D55ACC08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mesa + letreiro em acrílico e logo para eventos
</t>
      </text>
    </comment>
    <comment ref="F28" authorId="2" shapeId="0" xr:uid="{2176C87C-C387-444B-94C1-D32ACF2634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camisetas/camisas para time. Incluir na conta camisetas para Comercial para eventos na hora da cotação</t>
      </text>
    </comment>
    <comment ref="AK28" authorId="3" shapeId="0" xr:uid="{4C4FC3D1-3D0F-4F56-962F-11D7D668E7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camisetas/camisas para time. Incluir na conta camisetas para Comercial para eventos na hora da cotação</t>
      </text>
    </comment>
    <comment ref="G36" authorId="4" shapeId="0" xr:uid="{F582D93F-7C55-4BC4-B708-C4BC95ACA1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181,83 - app que automatiza a integração de leads com fb webflow e o email mkt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tc={FB824F12-1E89-4734-B1A1-D4460A3762F0}</author>
  </authors>
  <commentList>
    <comment ref="C20" authorId="0" shapeId="0" xr:uid="{FB824F12-1E89-4734-B1A1-D4460A3762F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despacho malas, alimentação, transporte, taxa hotel..
</t>
      </text>
    </comment>
  </commentList>
</comments>
</file>

<file path=xl/sharedStrings.xml><?xml version="1.0" encoding="utf-8"?>
<sst xmlns="http://schemas.openxmlformats.org/spreadsheetml/2006/main" count="959" uniqueCount="227">
  <si>
    <t>Mídia paga</t>
  </si>
  <si>
    <t>Google</t>
  </si>
  <si>
    <t>Influenciadores</t>
  </si>
  <si>
    <t>Meta</t>
  </si>
  <si>
    <t>Social/Produção de mídia</t>
  </si>
  <si>
    <t>Linkedin</t>
  </si>
  <si>
    <t>Eventos/parcerias</t>
  </si>
  <si>
    <t>Tik Tok</t>
  </si>
  <si>
    <t>Branding</t>
  </si>
  <si>
    <t>Fee</t>
  </si>
  <si>
    <t>Terceiros/Software/ Consultoria em MKT</t>
  </si>
  <si>
    <t xml:space="preserve">Comissão </t>
  </si>
  <si>
    <t>Diretoria</t>
  </si>
  <si>
    <t>Extras</t>
  </si>
  <si>
    <t>Produção de vídeo</t>
  </si>
  <si>
    <t>Equipamentos/estrutura</t>
  </si>
  <si>
    <t>Materiais de comunicação</t>
  </si>
  <si>
    <t>Envoval escritório</t>
  </si>
  <si>
    <t>Materiais Doris</t>
  </si>
  <si>
    <t>Vídeo de marca</t>
  </si>
  <si>
    <t>Freela Designer</t>
  </si>
  <si>
    <t>Tráfego pago</t>
  </si>
  <si>
    <t>WPP</t>
  </si>
  <si>
    <t>PR</t>
  </si>
  <si>
    <t>Agência de mkt</t>
  </si>
  <si>
    <t>APPs e mensalidades</t>
  </si>
  <si>
    <t>Reembolsos Louise</t>
  </si>
  <si>
    <t>Jan.26</t>
  </si>
  <si>
    <t>Feb.26</t>
  </si>
  <si>
    <t>Mar.26</t>
  </si>
  <si>
    <t>Apr.26</t>
  </si>
  <si>
    <t>May.26</t>
  </si>
  <si>
    <t>Jun.26</t>
  </si>
  <si>
    <t>Jul.26</t>
  </si>
  <si>
    <t>Aug.26</t>
  </si>
  <si>
    <t>Sep.26</t>
  </si>
  <si>
    <t>Oct.26</t>
  </si>
  <si>
    <t>Nov.26</t>
  </si>
  <si>
    <t>Dec.26</t>
  </si>
  <si>
    <t>Plan</t>
  </si>
  <si>
    <t>Real</t>
  </si>
  <si>
    <t>Dif</t>
  </si>
  <si>
    <t>Plan Pedro</t>
  </si>
  <si>
    <t>Q1</t>
  </si>
  <si>
    <t>Q2</t>
  </si>
  <si>
    <t>Q3</t>
  </si>
  <si>
    <t>Q4</t>
  </si>
  <si>
    <t>Plan Lou</t>
  </si>
  <si>
    <t>Teto 2025</t>
  </si>
  <si>
    <t>Disponível</t>
  </si>
  <si>
    <t>5272,38</t>
  </si>
  <si>
    <t>App Store</t>
  </si>
  <si>
    <t>Vídeos de marca</t>
  </si>
  <si>
    <t>Freela Designer / site</t>
  </si>
  <si>
    <t>Email</t>
  </si>
  <si>
    <t>Agência MKT</t>
  </si>
  <si>
    <t>Date</t>
  </si>
  <si>
    <t>Suplier</t>
  </si>
  <si>
    <t>Description</t>
  </si>
  <si>
    <t>Price</t>
  </si>
  <si>
    <t>Category</t>
  </si>
  <si>
    <t>Details</t>
  </si>
  <si>
    <t>Reference</t>
  </si>
  <si>
    <t>NF recieved</t>
  </si>
  <si>
    <t>NF sent</t>
  </si>
  <si>
    <t>NF number</t>
  </si>
  <si>
    <t>Carolina Seguchi</t>
  </si>
  <si>
    <t>Freela design para social</t>
  </si>
  <si>
    <t>Terceiros</t>
  </si>
  <si>
    <t>Capcut</t>
  </si>
  <si>
    <t>Mensalidade Capcut</t>
  </si>
  <si>
    <t>Outros</t>
  </si>
  <si>
    <t>Julio</t>
  </si>
  <si>
    <t>Soma de Price</t>
  </si>
  <si>
    <t>Mídia Paga</t>
  </si>
  <si>
    <t>Eventos/parcerias Total</t>
  </si>
  <si>
    <t>Google Ads</t>
  </si>
  <si>
    <t>Clara</t>
  </si>
  <si>
    <t>Mídia Paga Total</t>
  </si>
  <si>
    <t>American Airlines</t>
  </si>
  <si>
    <t>Assentos - viagem LAS</t>
  </si>
  <si>
    <t>Cordão Celular</t>
  </si>
  <si>
    <t>Cordão para celular</t>
  </si>
  <si>
    <t>Outros Total</t>
  </si>
  <si>
    <t>Terceiros Total</t>
  </si>
  <si>
    <t>Rotato</t>
  </si>
  <si>
    <t>Anuidade Editor Mockup iphone</t>
  </si>
  <si>
    <t>(vazio)</t>
  </si>
  <si>
    <t>Marcelo</t>
  </si>
  <si>
    <t>(vazio) Total</t>
  </si>
  <si>
    <t>Mensagem de autenticação do APP</t>
  </si>
  <si>
    <t>Marcos</t>
  </si>
  <si>
    <t>Total Geral</t>
  </si>
  <si>
    <t>NF META</t>
  </si>
  <si>
    <t>Zara</t>
  </si>
  <si>
    <t>Camisetas eventos</t>
  </si>
  <si>
    <t>HM</t>
  </si>
  <si>
    <t>Marcerie Comercio de bordados</t>
  </si>
  <si>
    <t>Programação logo estamparia camisas eventos</t>
  </si>
  <si>
    <t>Branding Total</t>
  </si>
  <si>
    <t xml:space="preserve">EC Bordados </t>
  </si>
  <si>
    <t>Bordados camisetas eventos</t>
  </si>
  <si>
    <t>Acrílico QR CODE</t>
  </si>
  <si>
    <t>Acrílico para Wait List - QR Code</t>
  </si>
  <si>
    <t>Cordinha Celular</t>
  </si>
  <si>
    <t>Cordinha para pendurar</t>
  </si>
  <si>
    <t>Bottons</t>
  </si>
  <si>
    <t>Bottons para prender</t>
  </si>
  <si>
    <t>Uma gráfica</t>
  </si>
  <si>
    <t>Cartões de visita</t>
  </si>
  <si>
    <t>20/10/2025</t>
  </si>
  <si>
    <t>21/10/2025</t>
  </si>
  <si>
    <t>Noovid</t>
  </si>
  <si>
    <t>Vídeo UGC - Plataforma Noovid</t>
  </si>
  <si>
    <t>23/10/2025</t>
  </si>
  <si>
    <t>Open Magic</t>
  </si>
  <si>
    <t>Plataforma de vídeos via AI</t>
  </si>
  <si>
    <t>Jara serviços gráficos</t>
  </si>
  <si>
    <t>Adesivos</t>
  </si>
  <si>
    <t>Adesivos para garrafas</t>
  </si>
  <si>
    <t>Social/Produção de conteúdo</t>
  </si>
  <si>
    <t>Equipamentos</t>
  </si>
  <si>
    <t>Best Buy</t>
  </si>
  <si>
    <t xml:space="preserve">Lapela </t>
  </si>
  <si>
    <t>Social/Produção de conteúdo Total</t>
  </si>
  <si>
    <t>Diversos</t>
  </si>
  <si>
    <t xml:space="preserve">Despesas viagem Vegas - Louise </t>
  </si>
  <si>
    <t>Magenta Agência</t>
  </si>
  <si>
    <t>Vídeo Doris - FII</t>
  </si>
  <si>
    <t>PC 00/008366</t>
  </si>
  <si>
    <t>Enviado diretamente para o Marcos</t>
  </si>
  <si>
    <t>Stickeria Santista</t>
  </si>
  <si>
    <t>Adesivos da Doris</t>
  </si>
  <si>
    <t>304,00</t>
  </si>
  <si>
    <t>Audacce Brindes</t>
  </si>
  <si>
    <t>Garrafas de água personalizadas</t>
  </si>
  <si>
    <t>Uma Gráfica</t>
  </si>
  <si>
    <t>Cartões de visita empastados</t>
  </si>
  <si>
    <t>Zoho</t>
  </si>
  <si>
    <t>Zoho Mkt Automation</t>
  </si>
  <si>
    <t>Zoho Flow</t>
  </si>
  <si>
    <t>Mariana Aragão Influenciadora</t>
  </si>
  <si>
    <t xml:space="preserve">Influenciadora da Doris </t>
  </si>
  <si>
    <t>Fernanda Caldeira Influenciadora</t>
  </si>
  <si>
    <t xml:space="preserve">Licores Bakko
</t>
  </si>
  <si>
    <t>4 garrafas de licor para festa de fim de ano</t>
  </si>
  <si>
    <t>Admire Personalizados</t>
  </si>
  <si>
    <t>Bonés</t>
  </si>
  <si>
    <t>PC 00/008425</t>
  </si>
  <si>
    <t>Pedro pagou 800.00</t>
  </si>
  <si>
    <t>Vimeo</t>
  </si>
  <si>
    <t>App hospedagem vídeos pagos</t>
  </si>
  <si>
    <t>Influenciadores Total</t>
  </si>
  <si>
    <t>Mídia paga Total</t>
  </si>
  <si>
    <t>WPP Total</t>
  </si>
  <si>
    <t>PC</t>
  </si>
  <si>
    <t>PC 00/008493</t>
  </si>
  <si>
    <t>PC 00/008495</t>
  </si>
  <si>
    <t>Jehn</t>
  </si>
  <si>
    <t>Produtor de Conteúdo</t>
  </si>
  <si>
    <t>PC 00/008363</t>
  </si>
  <si>
    <t>Magenta</t>
  </si>
  <si>
    <t xml:space="preserve">Vídeos fguncionalidades </t>
  </si>
  <si>
    <t>PC 00/008414</t>
  </si>
  <si>
    <t>Halyson</t>
  </si>
  <si>
    <t>Fotógrafo Confra</t>
  </si>
  <si>
    <t>PC 00/008369</t>
  </si>
  <si>
    <t>Mariana Aragão Consultoria</t>
  </si>
  <si>
    <t>Fernanda Caldeira</t>
  </si>
  <si>
    <t>La Poele</t>
  </si>
  <si>
    <t>Local da confra</t>
  </si>
  <si>
    <t>PC 00/008497</t>
  </si>
  <si>
    <t>Obs</t>
  </si>
  <si>
    <t>Recibos enviados. NF apenas em fev</t>
  </si>
  <si>
    <t>Recibo Meta 05 01.pdf</t>
  </si>
  <si>
    <t>Recibo Meta 05 01 (1).pdf</t>
  </si>
  <si>
    <t>PC 00/008499</t>
  </si>
  <si>
    <t xml:space="preserve"> @ figueira, já subi no clara. Colocar recibo no Drive pf</t>
  </si>
  <si>
    <t>Fee assessoria - Isabela Mac</t>
  </si>
  <si>
    <t>Mensalidade Plataforma CRM</t>
  </si>
  <si>
    <t xml:space="preserve">Fee Influencer </t>
  </si>
  <si>
    <t>Impsoto sobre Ads</t>
  </si>
  <si>
    <t>Isabela Mac</t>
  </si>
  <si>
    <t>PC 00/008450</t>
  </si>
  <si>
    <t>GVS Serviços</t>
  </si>
  <si>
    <t>PC 00/008451</t>
  </si>
  <si>
    <t>13/1/2026</t>
  </si>
  <si>
    <t>Taxi - BR Partners</t>
  </si>
  <si>
    <t>15/01/2026</t>
  </si>
  <si>
    <t>Boleto</t>
  </si>
  <si>
    <t>PC 00/008488</t>
  </si>
  <si>
    <t>16/1/2026</t>
  </si>
  <si>
    <t>PC 00/008559</t>
  </si>
  <si>
    <t>Produção de Conteúdo</t>
  </si>
  <si>
    <t>Mariana Aragão</t>
  </si>
  <si>
    <t>PC 00/008283</t>
  </si>
  <si>
    <t>19/1/2026</t>
  </si>
  <si>
    <t>Taxi</t>
  </si>
  <si>
    <t>Dez-25</t>
  </si>
  <si>
    <t xml:space="preserve"> - </t>
  </si>
  <si>
    <t>PC 00/008491</t>
  </si>
  <si>
    <t>Taxi com Pedro e Julio para reunião com BR partners</t>
  </si>
  <si>
    <t>PC 00/008325</t>
  </si>
  <si>
    <t>Jhen Films</t>
  </si>
  <si>
    <t>Fee mensal - agência</t>
  </si>
  <si>
    <t>26/01/2026</t>
  </si>
  <si>
    <t>Propeg</t>
  </si>
  <si>
    <t>PC 00/008511</t>
  </si>
  <si>
    <t>Acerto Mídia Paga controle Finanças</t>
  </si>
  <si>
    <t>Figma</t>
  </si>
  <si>
    <t>Mensalidade Figma</t>
  </si>
  <si>
    <t>Financeiro</t>
  </si>
  <si>
    <t>PC 00/008571</t>
  </si>
  <si>
    <t>Diretamente do financeiro. Eles fazem o rateio entrr as areas</t>
  </si>
  <si>
    <t>Adobe</t>
  </si>
  <si>
    <t>Mensalidade plataforma CRM</t>
  </si>
  <si>
    <t>fev-26</t>
  </si>
  <si>
    <t>Agência de mkt Propeg</t>
  </si>
  <si>
    <t xml:space="preserve"> PC 00/008511</t>
  </si>
  <si>
    <t>Mensalidade Adobe</t>
  </si>
  <si>
    <t xml:space="preserve">Vídeo de lançamento APP </t>
  </si>
  <si>
    <t>13/3/2026</t>
  </si>
  <si>
    <t>50% no ato e 50% em 30 dias</t>
  </si>
  <si>
    <t>PC 00/008649</t>
  </si>
  <si>
    <t>Assessoria Isabela Mac</t>
  </si>
  <si>
    <t>Fee Assessoria Influencer</t>
  </si>
  <si>
    <t>Fee Influencer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</si>
</sst>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_-[$R$-416]\ * #,##0_-;\-[$R$-416]\ * #,##0_-;_-[$R$-416]\ * &quot;-&quot;??_-;_-@_-"/>
    <numFmt numFmtId="166" formatCode="_([$$-409]* #,##0.00_);_([$$-409]* \(#,##0.00\);_([$$-409]* &quot;-&quot;??_);_(@_)"/>
    <numFmt numFmtId="167" formatCode="0.0%"/>
    <numFmt numFmtId="168" formatCode="_(* #,##0_);_(* \(#,##0\);_(* &quot;-&quot;??_);_(@_)"/>
    <numFmt numFmtId="169" formatCode="#,##0.0_);\(#,##0.0\);\–_);@_)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</font>
    <font>
      <sz val="11"/>
      <color rgb="FF000000"/>
      <name val="Helvetica"/>
      <charset val="1"/>
    </font>
    <font>
      <sz val="10"/>
      <color theme="0"/>
      <name val="Calibri"/>
      <family val="2"/>
    </font>
    <font>
      <b/>
      <sz val="10"/>
      <color rgb="FF000000"/>
      <name val="Calibri"/>
      <family val="2"/>
    </font>
    <font>
      <sz val="11"/>
      <color rgb="FF242424"/>
      <name val="Aptos Narrow"/>
      <charset val="1"/>
    </font>
    <font>
      <b/>
      <sz val="10"/>
      <color theme="0"/>
      <name val="Calibri"/>
      <family val="2"/>
    </font>
    <font>
      <sz val="10"/>
      <color rgb="FF008000"/>
      <name val="Aptos Narrow"/>
      <family val="2"/>
      <scheme val="minor"/>
    </font>
    <font>
      <sz val="9"/>
      <color rgb="FF000000"/>
      <name val="Helvetica"/>
      <charset val="1"/>
    </font>
    <font>
      <sz val="7"/>
      <color rgb="FF000000"/>
      <name val="Helvetic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4" fontId="4" fillId="0" borderId="1" xfId="0" applyNumberFormat="1" applyFon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4" fillId="0" borderId="0" xfId="0" applyFont="1"/>
    <xf numFmtId="0" fontId="2" fillId="3" borderId="0" xfId="0" applyFont="1" applyFill="1" applyAlignment="1">
      <alignment horizontal="center"/>
    </xf>
    <xf numFmtId="16" fontId="0" fillId="0" borderId="1" xfId="0" applyNumberFormat="1" applyBorder="1" applyAlignment="1">
      <alignment horizontal="center"/>
    </xf>
    <xf numFmtId="44" fontId="2" fillId="0" borderId="0" xfId="1" applyFont="1" applyAlignment="1">
      <alignment horizontal="center"/>
    </xf>
    <xf numFmtId="1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4" fontId="4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pivotButton="1"/>
    <xf numFmtId="14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2" fillId="2" borderId="0" xfId="0" applyFont="1" applyFill="1" applyAlignment="1">
      <alignment horizontal="center"/>
    </xf>
    <xf numFmtId="0" fontId="6" fillId="0" borderId="0" xfId="2"/>
    <xf numFmtId="166" fontId="7" fillId="0" borderId="0" xfId="0" applyNumberFormat="1" applyFont="1"/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left"/>
    </xf>
    <xf numFmtId="165" fontId="9" fillId="0" borderId="0" xfId="0" applyNumberFormat="1" applyFont="1" applyAlignment="1">
      <alignment horizontal="center"/>
    </xf>
    <xf numFmtId="165" fontId="9" fillId="2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167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10" fillId="2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1" fillId="0" borderId="0" xfId="0" applyFont="1"/>
    <xf numFmtId="165" fontId="3" fillId="2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165" fontId="1" fillId="3" borderId="0" xfId="0" applyNumberFormat="1" applyFont="1" applyFill="1" applyAlignment="1">
      <alignment horizontal="center"/>
    </xf>
    <xf numFmtId="165" fontId="12" fillId="2" borderId="0" xfId="0" applyNumberFormat="1" applyFont="1" applyFill="1" applyAlignment="1">
      <alignment horizontal="center"/>
    </xf>
    <xf numFmtId="165" fontId="9" fillId="3" borderId="0" xfId="0" applyNumberFormat="1" applyFont="1" applyFill="1" applyAlignment="1">
      <alignment horizontal="center"/>
    </xf>
    <xf numFmtId="165" fontId="0" fillId="0" borderId="0" xfId="0" applyNumberFormat="1"/>
    <xf numFmtId="168" fontId="0" fillId="0" borderId="0" xfId="0" applyNumberFormat="1"/>
    <xf numFmtId="0" fontId="0" fillId="2" borderId="0" xfId="0" applyFill="1"/>
    <xf numFmtId="169" fontId="13" fillId="2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left"/>
    </xf>
    <xf numFmtId="0" fontId="14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center"/>
    </xf>
    <xf numFmtId="16" fontId="2" fillId="0" borderId="0" xfId="0" applyNumberFormat="1" applyFont="1" applyAlignment="1">
      <alignment horizontal="center" wrapText="1"/>
    </xf>
    <xf numFmtId="165" fontId="3" fillId="2" borderId="0" xfId="0" applyNumberFormat="1" applyFont="1" applyFill="1" applyAlignment="1">
      <alignment horizontal="center" vertical="center"/>
    </xf>
    <xf numFmtId="16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uise Fletcher Lopes" id="{84A209B7-323F-4522-9069-13B451C19B5A}" userId="S::llopes@doris.ai::298cc932-ff88-4c1c-9756-0353703b03f4" providerId="AD"/>
  <person displayName="Felipe Figueira" id="{210E7A7D-2665-4656-B74C-1E37FD93A1FA}" userId="S::ffigueira@doris.ai::96829bb1-e6f8-4a95-a1ea-3f362fcb980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8.471292824077" createdVersion="8" refreshedVersion="8" minRefreshableVersion="3" recordCount="44" xr:uid="{D06ADCE3-B8F3-49F2-BC59-161C78151E93}">
  <cacheSource type="worksheet">
    <worksheetSource ref="D1:F1048576" sheet="Sep.25"/>
  </cacheSource>
  <cacheFields count="3">
    <cacheField name="Price" numFmtId="164">
      <sharedItems containsString="0" containsBlank="1" containsNumber="1" minValue="6.09" maxValue="6000"/>
    </cacheField>
    <cacheField name="Category" numFmtId="0">
      <sharedItems containsBlank="1" count="5">
        <s v="Terceiros"/>
        <s v="Outros"/>
        <s v="Mídia Paga"/>
        <m/>
        <s v="Eventos/parcerias"/>
      </sharedItems>
    </cacheField>
    <cacheField name="Details" numFmtId="0">
      <sharedItems containsBlank="1" count="10">
        <s v="Freela Designer"/>
        <s v="APPs e mensalidades"/>
        <s v="Linkedin"/>
        <s v="Google"/>
        <s v="Meta"/>
        <m/>
        <s v="Reembolsos Louise"/>
        <s v="Materiais de comunicação"/>
        <s v="Tráfego pago"/>
        <s v="WP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8.471292824077" createdVersion="8" refreshedVersion="8" minRefreshableVersion="3" recordCount="42" xr:uid="{1D84C735-86AF-4355-8772-6F89274D1CA5}">
  <cacheSource type="worksheet">
    <worksheetSource ref="D1:F1048576" sheet="Oct.25"/>
  </cacheSource>
  <cacheFields count="3">
    <cacheField name="Price" numFmtId="164">
      <sharedItems containsString="0" containsBlank="1" containsNumber="1" minValue="9.91" maxValue="31900"/>
    </cacheField>
    <cacheField name="Category" numFmtId="0">
      <sharedItems containsBlank="1" count="6">
        <s v="Eventos/parcerias"/>
        <s v="Mídia Paga"/>
        <s v="Branding"/>
        <m/>
        <s v="Outros"/>
        <s v="Social/Produção de conteúdo"/>
      </sharedItems>
    </cacheField>
    <cacheField name="Details" numFmtId="0">
      <sharedItems containsBlank="1" count="11">
        <s v="Materiais de comunicação"/>
        <s v="Google"/>
        <s v="Linkedin"/>
        <s v="Materiais Doris"/>
        <m/>
        <s v="Envoval escritório"/>
        <s v="APPs e mensalidades"/>
        <s v="Equipamentos"/>
        <s v="Reembolsos Louise"/>
        <s v="Produção de vídeo"/>
        <s v="Me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8.471292824077" createdVersion="8" refreshedVersion="8" minRefreshableVersion="3" recordCount="32" xr:uid="{4EC1FDA2-E337-4482-901E-07F1F083BA00}">
  <cacheSource type="worksheet">
    <worksheetSource ref="D1:F1048576" sheet="Nov.25"/>
  </cacheSource>
  <cacheFields count="3">
    <cacheField name="Price" numFmtId="164">
      <sharedItems containsBlank="1" containsMixedTypes="1" containsNumber="1" minValue="65.900000000000006" maxValue="3800"/>
    </cacheField>
    <cacheField name="Category" numFmtId="0">
      <sharedItems containsBlank="1" count="7">
        <s v="Branding"/>
        <s v="Outros"/>
        <s v="Influenciadores"/>
        <s v="Eventos/parcerias"/>
        <s v="WPP"/>
        <s v="Mídia paga"/>
        <m/>
      </sharedItems>
    </cacheField>
    <cacheField name="Details" numFmtId="0">
      <sharedItems containsBlank="1" count="9">
        <s v="Envoval escritório"/>
        <s v="APPs e mensalidades"/>
        <s v="Fee"/>
        <s v="Extras"/>
        <s v="Materiais Doris"/>
        <s v="WPP"/>
        <s v="Meta"/>
        <m/>
        <s v="Materiais de comun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8.471292824077" createdVersion="8" refreshedVersion="8" minRefreshableVersion="3" recordCount="25" xr:uid="{9DEA829E-48BB-4288-A67C-AE4E54C0D0C4}">
  <cacheSource type="worksheet">
    <worksheetSource ref="B1:F1048576" sheet="Jan.26"/>
  </cacheSource>
  <cacheFields count="5">
    <cacheField name="Suplier" numFmtId="0">
      <sharedItems containsBlank="1"/>
    </cacheField>
    <cacheField name="Description" numFmtId="0">
      <sharedItems containsBlank="1" count="9">
        <s v="Mídia paga"/>
        <s v="Mensalidade Plataforma CRM"/>
        <s v="Fee Influencer "/>
        <s v="Fee assessoria - Isabela Mac"/>
        <s v="Impsoto sobre Ads"/>
        <s v="Taxi - BR Partners"/>
        <s v="Produção de Conteúdo"/>
        <s v="Fee mensal - agência"/>
        <m/>
      </sharedItems>
    </cacheField>
    <cacheField name="Price" numFmtId="164">
      <sharedItems containsString="0" containsBlank="1" containsNumber="1" minValue="15.65" maxValue="50000"/>
    </cacheField>
    <cacheField name="Category" numFmtId="0">
      <sharedItems containsBlank="1" count="6">
        <s v="Mídia paga"/>
        <s v="Outros"/>
        <s v="Influenciadores"/>
        <s v="Social/Produção de conteúdo"/>
        <s v="Terceiros"/>
        <m/>
      </sharedItems>
    </cacheField>
    <cacheField name="Detai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300"/>
    <x v="0"/>
    <x v="0"/>
  </r>
  <r>
    <n v="65.900000000000006"/>
    <x v="1"/>
    <x v="1"/>
  </r>
  <r>
    <n v="230.43"/>
    <x v="2"/>
    <x v="2"/>
  </r>
  <r>
    <n v="882.43"/>
    <x v="2"/>
    <x v="2"/>
  </r>
  <r>
    <n v="614.04999999999995"/>
    <x v="2"/>
    <x v="3"/>
  </r>
  <r>
    <n v="676.25"/>
    <x v="2"/>
    <x v="2"/>
  </r>
  <r>
    <n v="812.79"/>
    <x v="2"/>
    <x v="2"/>
  </r>
  <r>
    <n v="724.83"/>
    <x v="2"/>
    <x v="2"/>
  </r>
  <r>
    <n v="1000.39"/>
    <x v="2"/>
    <x v="4"/>
  </r>
  <r>
    <m/>
    <x v="3"/>
    <x v="5"/>
  </r>
  <r>
    <n v="1086.3800000000001"/>
    <x v="1"/>
    <x v="6"/>
  </r>
  <r>
    <n v="441.5"/>
    <x v="4"/>
    <x v="7"/>
  </r>
  <r>
    <n v="849.27"/>
    <x v="2"/>
    <x v="2"/>
  </r>
  <r>
    <n v="694.5"/>
    <x v="2"/>
    <x v="2"/>
  </r>
  <r>
    <n v="1000.45"/>
    <x v="2"/>
    <x v="4"/>
  </r>
  <r>
    <n v="419"/>
    <x v="1"/>
    <x v="1"/>
  </r>
  <r>
    <n v="6000"/>
    <x v="0"/>
    <x v="8"/>
  </r>
  <r>
    <n v="6.09"/>
    <x v="1"/>
    <x v="9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  <r>
    <m/>
    <x v="3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507.5"/>
    <x v="0"/>
    <x v="0"/>
  </r>
  <r>
    <n v="259.8"/>
    <x v="0"/>
    <x v="0"/>
  </r>
  <r>
    <n v="1846.5"/>
    <x v="1"/>
    <x v="1"/>
  </r>
  <r>
    <n v="321.94"/>
    <x v="1"/>
    <x v="2"/>
  </r>
  <r>
    <n v="180"/>
    <x v="0"/>
    <x v="0"/>
  </r>
  <r>
    <n v="475"/>
    <x v="2"/>
    <x v="3"/>
  </r>
  <r>
    <n v="149"/>
    <x v="0"/>
    <x v="0"/>
  </r>
  <r>
    <n v="441.5"/>
    <x v="2"/>
    <x v="3"/>
  </r>
  <r>
    <n v="790"/>
    <x v="2"/>
    <x v="3"/>
  </r>
  <r>
    <m/>
    <x v="3"/>
    <x v="4"/>
  </r>
  <r>
    <n v="434"/>
    <x v="2"/>
    <x v="5"/>
  </r>
  <r>
    <n v="186.15"/>
    <x v="4"/>
    <x v="6"/>
  </r>
  <r>
    <n v="162.66"/>
    <x v="4"/>
    <x v="6"/>
  </r>
  <r>
    <n v="1188"/>
    <x v="2"/>
    <x v="5"/>
  </r>
  <r>
    <n v="304"/>
    <x v="2"/>
    <x v="3"/>
  </r>
  <r>
    <n v="618.41"/>
    <x v="5"/>
    <x v="7"/>
  </r>
  <r>
    <n v="65.900000000000006"/>
    <x v="4"/>
    <x v="6"/>
  </r>
  <r>
    <n v="9.91"/>
    <x v="4"/>
    <x v="6"/>
  </r>
  <r>
    <n v="5595.2"/>
    <x v="4"/>
    <x v="8"/>
  </r>
  <r>
    <n v="31900"/>
    <x v="5"/>
    <x v="9"/>
  </r>
  <r>
    <n v="112.53"/>
    <x v="1"/>
    <x v="10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  <r>
    <m/>
    <x v="3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304,00"/>
    <x v="0"/>
    <x v="0"/>
  </r>
  <r>
    <n v="3710"/>
    <x v="0"/>
    <x v="0"/>
  </r>
  <r>
    <n v="2100"/>
    <x v="0"/>
    <x v="0"/>
  </r>
  <r>
    <n v="85.5"/>
    <x v="1"/>
    <x v="1"/>
  </r>
  <r>
    <n v="181.83"/>
    <x v="1"/>
    <x v="1"/>
  </r>
  <r>
    <n v="2000"/>
    <x v="2"/>
    <x v="2"/>
  </r>
  <r>
    <n v="3800"/>
    <x v="2"/>
    <x v="2"/>
  </r>
  <r>
    <n v="236"/>
    <x v="3"/>
    <x v="3"/>
  </r>
  <r>
    <n v="2867"/>
    <x v="0"/>
    <x v="4"/>
  </r>
  <r>
    <n v="65.900000000000006"/>
    <x v="1"/>
    <x v="1"/>
  </r>
  <r>
    <n v="976.21"/>
    <x v="1"/>
    <x v="1"/>
  </r>
  <r>
    <n v="67.23"/>
    <x v="4"/>
    <x v="5"/>
  </r>
  <r>
    <n v="1001.29"/>
    <x v="5"/>
    <x v="6"/>
  </r>
  <r>
    <n v="1000.51"/>
    <x v="5"/>
    <x v="6"/>
  </r>
  <r>
    <n v="1000.18"/>
    <x v="5"/>
    <x v="6"/>
  </r>
  <r>
    <n v="1000.15"/>
    <x v="5"/>
    <x v="6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  <r>
    <m/>
    <x v="6"/>
    <x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Meta"/>
    <x v="0"/>
    <n v="269.57"/>
    <x v="0"/>
    <s v="Meta"/>
  </r>
  <r>
    <s v="Meta"/>
    <x v="0"/>
    <n v="730.43"/>
    <x v="0"/>
    <s v="Meta"/>
  </r>
  <r>
    <s v="Meta"/>
    <x v="0"/>
    <n v="1138.3499999999999"/>
    <x v="0"/>
    <s v="Meta"/>
  </r>
  <r>
    <s v="Zoho"/>
    <x v="1"/>
    <n v="181.83"/>
    <x v="1"/>
    <s v="APPs e mensalidades"/>
  </r>
  <r>
    <s v="Zoho"/>
    <x v="1"/>
    <n v="220.5"/>
    <x v="1"/>
    <s v="APPs e mensalidades"/>
  </r>
  <r>
    <s v="Zoho"/>
    <x v="1"/>
    <n v="21.77"/>
    <x v="1"/>
    <s v="APPs e mensalidades"/>
  </r>
  <r>
    <s v="Isabela Mac"/>
    <x v="2"/>
    <n v="11600"/>
    <x v="2"/>
    <s v="Fee"/>
  </r>
  <r>
    <s v="GVS Serviços"/>
    <x v="3"/>
    <n v="2900"/>
    <x v="2"/>
    <s v="Fee"/>
  </r>
  <r>
    <s v="Meta"/>
    <x v="4"/>
    <n v="19.3"/>
    <x v="0"/>
    <s v="Meta"/>
  </r>
  <r>
    <s v="Meta"/>
    <x v="4"/>
    <n v="38.590000000000003"/>
    <x v="0"/>
    <s v="Meta"/>
  </r>
  <r>
    <s v="Meta"/>
    <x v="0"/>
    <n v="10300"/>
    <x v="0"/>
    <s v="Meta"/>
  </r>
  <r>
    <s v="Meta"/>
    <x v="0"/>
    <n v="1070.9100000000001"/>
    <x v="0"/>
    <s v="Meta"/>
  </r>
  <r>
    <s v="Mariana Aragão"/>
    <x v="2"/>
    <n v="1000"/>
    <x v="2"/>
    <s v="Fee"/>
  </r>
  <r>
    <s v="Taxi"/>
    <x v="5"/>
    <n v="15.65"/>
    <x v="1"/>
    <s v="Reembolsos Louise"/>
  </r>
  <r>
    <s v="Fernanda Caldeira"/>
    <x v="2"/>
    <n v="3800"/>
    <x v="2"/>
    <s v="Fee"/>
  </r>
  <r>
    <s v="Jhen Films"/>
    <x v="6"/>
    <n v="1500"/>
    <x v="3"/>
    <s v="Produção de vídeo"/>
  </r>
  <r>
    <s v="Propeg"/>
    <x v="7"/>
    <n v="50000"/>
    <x v="4"/>
    <s v="Agência de mkt"/>
  </r>
  <r>
    <m/>
    <x v="8"/>
    <m/>
    <x v="5"/>
    <m/>
  </r>
  <r>
    <m/>
    <x v="8"/>
    <m/>
    <x v="5"/>
    <m/>
  </r>
  <r>
    <m/>
    <x v="8"/>
    <m/>
    <x v="5"/>
    <m/>
  </r>
  <r>
    <m/>
    <x v="8"/>
    <m/>
    <x v="5"/>
    <m/>
  </r>
  <r>
    <m/>
    <x v="8"/>
    <m/>
    <x v="5"/>
    <m/>
  </r>
  <r>
    <m/>
    <x v="8"/>
    <m/>
    <x v="5"/>
    <m/>
  </r>
  <r>
    <m/>
    <x v="8"/>
    <m/>
    <x v="5"/>
    <m/>
  </r>
  <r>
    <m/>
    <x v="8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B073F-4A11-438D-98C1-68F5347ED84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M3:O19" firstHeaderRow="1" firstDataRow="1" firstDataCol="2"/>
  <pivotFields count="3">
    <pivotField dataField="1" compact="0" outline="0" showAll="0"/>
    <pivotField axis="axisRow" compact="0" outline="0" showAll="0">
      <items count="6">
        <item x="4"/>
        <item x="2"/>
        <item x="1"/>
        <item x="0"/>
        <item x="3"/>
        <item t="default"/>
      </items>
    </pivotField>
    <pivotField axis="axisRow" compact="0" outline="0" showAll="0">
      <items count="11">
        <item x="1"/>
        <item x="0"/>
        <item x="3"/>
        <item x="2"/>
        <item x="7"/>
        <item x="4"/>
        <item x="6"/>
        <item x="8"/>
        <item x="5"/>
        <item x="9"/>
        <item t="default"/>
      </items>
    </pivotField>
  </pivotFields>
  <rowFields count="2">
    <field x="1"/>
    <field x="2"/>
  </rowFields>
  <rowItems count="16">
    <i>
      <x/>
      <x v="4"/>
    </i>
    <i t="default">
      <x/>
    </i>
    <i>
      <x v="1"/>
      <x v="2"/>
    </i>
    <i r="1">
      <x v="3"/>
    </i>
    <i r="1">
      <x v="5"/>
    </i>
    <i t="default">
      <x v="1"/>
    </i>
    <i>
      <x v="2"/>
      <x/>
    </i>
    <i r="1">
      <x v="6"/>
    </i>
    <i r="1">
      <x v="9"/>
    </i>
    <i t="default">
      <x v="2"/>
    </i>
    <i>
      <x v="3"/>
      <x v="1"/>
    </i>
    <i r="1">
      <x v="7"/>
    </i>
    <i t="default">
      <x v="3"/>
    </i>
    <i>
      <x v="4"/>
      <x v="8"/>
    </i>
    <i t="default">
      <x v="4"/>
    </i>
    <i t="grand">
      <x/>
    </i>
  </rowItems>
  <colItems count="1">
    <i/>
  </colItems>
  <dataFields count="1">
    <dataField name="Soma de Price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CBD5B-F01D-4597-B98F-20A8C7D2536E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N3:P21" firstHeaderRow="1" firstDataRow="1" firstDataCol="2"/>
  <pivotFields count="3">
    <pivotField dataField="1" compact="0" outline="0" showAll="0"/>
    <pivotField axis="axisRow" compact="0" outline="0" showAll="0">
      <items count="7">
        <item x="2"/>
        <item x="0"/>
        <item x="1"/>
        <item x="4"/>
        <item x="5"/>
        <item x="3"/>
        <item t="default"/>
      </items>
    </pivotField>
    <pivotField axis="axisRow" compact="0" outline="0" showAll="0">
      <items count="12">
        <item x="6"/>
        <item x="5"/>
        <item x="7"/>
        <item x="1"/>
        <item x="2"/>
        <item x="0"/>
        <item x="3"/>
        <item x="10"/>
        <item x="9"/>
        <item x="8"/>
        <item x="4"/>
        <item t="default"/>
      </items>
    </pivotField>
  </pivotFields>
  <rowFields count="2">
    <field x="1"/>
    <field x="2"/>
  </rowFields>
  <rowItems count="18">
    <i>
      <x/>
      <x v="1"/>
    </i>
    <i r="1">
      <x v="6"/>
    </i>
    <i t="default">
      <x/>
    </i>
    <i>
      <x v="1"/>
      <x v="5"/>
    </i>
    <i t="default">
      <x v="1"/>
    </i>
    <i>
      <x v="2"/>
      <x v="3"/>
    </i>
    <i r="1">
      <x v="4"/>
    </i>
    <i r="1">
      <x v="7"/>
    </i>
    <i t="default">
      <x v="2"/>
    </i>
    <i>
      <x v="3"/>
      <x/>
    </i>
    <i r="1">
      <x v="9"/>
    </i>
    <i t="default">
      <x v="3"/>
    </i>
    <i>
      <x v="4"/>
      <x v="2"/>
    </i>
    <i r="1">
      <x v="8"/>
    </i>
    <i t="default">
      <x v="4"/>
    </i>
    <i>
      <x v="5"/>
      <x v="10"/>
    </i>
    <i t="default">
      <x v="5"/>
    </i>
    <i t="grand">
      <x/>
    </i>
  </rowItems>
  <colItems count="1">
    <i/>
  </colItems>
  <dataFields count="1">
    <dataField name="Soma de Price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A54D2-BF56-4C9C-BDE0-E66D2E7AA654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N32:P48" firstHeaderRow="1" firstDataRow="1" firstDataCol="2"/>
  <pivotFields count="3">
    <pivotField dataField="1" compact="0" outline="0" showAll="0"/>
    <pivotField axis="axisRow" compact="0" outline="0" showAll="0">
      <items count="8">
        <item x="0"/>
        <item x="3"/>
        <item x="2"/>
        <item x="5"/>
        <item x="1"/>
        <item x="6"/>
        <item x="4"/>
        <item t="default"/>
      </items>
    </pivotField>
    <pivotField axis="axisRow" compact="0" outline="0" showAll="0">
      <items count="10">
        <item x="1"/>
        <item x="0"/>
        <item x="3"/>
        <item x="2"/>
        <item m="1" x="8"/>
        <item x="4"/>
        <item x="6"/>
        <item x="7"/>
        <item x="5"/>
        <item t="default"/>
      </items>
    </pivotField>
  </pivotFields>
  <rowFields count="2">
    <field x="1"/>
    <field x="2"/>
  </rowFields>
  <rowItems count="16">
    <i>
      <x/>
      <x v="1"/>
    </i>
    <i r="1">
      <x v="5"/>
    </i>
    <i t="default">
      <x/>
    </i>
    <i>
      <x v="1"/>
      <x v="2"/>
    </i>
    <i t="default">
      <x v="1"/>
    </i>
    <i>
      <x v="2"/>
      <x v="3"/>
    </i>
    <i t="default">
      <x v="2"/>
    </i>
    <i>
      <x v="3"/>
      <x v="6"/>
    </i>
    <i t="default">
      <x v="3"/>
    </i>
    <i>
      <x v="4"/>
      <x/>
    </i>
    <i t="default">
      <x v="4"/>
    </i>
    <i>
      <x v="5"/>
      <x v="7"/>
    </i>
    <i t="default">
      <x v="5"/>
    </i>
    <i>
      <x v="6"/>
      <x v="8"/>
    </i>
    <i t="default">
      <x v="6"/>
    </i>
    <i t="grand">
      <x/>
    </i>
  </rowItems>
  <colItems count="1">
    <i/>
  </colItems>
  <dataFields count="1">
    <dataField name="Soma de Price" fld="0" baseField="0" baseItem="0"/>
  </dataFields>
  <formats count="1">
    <format dxfId="2">
      <pivotArea outline="0" fieldPosition="0">
        <references count="2">
          <reference field="1" count="1" selected="0">
            <x v="3"/>
          </reference>
          <reference field="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DF783-A9EC-4EF9-8E40-95FC753DEDD8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R3:T19" firstHeaderRow="1" firstDataRow="1" firstDataCol="2"/>
  <pivotFields count="5">
    <pivotField compact="0" outline="0" showAll="0"/>
    <pivotField axis="axisRow" compact="0" outline="0" showAll="0">
      <items count="10">
        <item x="3"/>
        <item x="2"/>
        <item x="4"/>
        <item x="1"/>
        <item x="0"/>
        <item x="6"/>
        <item x="5"/>
        <item x="8"/>
        <item x="7"/>
        <item t="default"/>
      </items>
    </pivotField>
    <pivotField dataField="1" compact="0" outline="0" showAll="0"/>
    <pivotField axis="axisRow" compact="0" outline="0" showAll="0">
      <items count="7">
        <item x="2"/>
        <item x="0"/>
        <item x="1"/>
        <item x="3"/>
        <item x="5"/>
        <item x="4"/>
        <item t="default"/>
      </items>
    </pivotField>
    <pivotField compact="0" outline="0" showAll="0"/>
  </pivotFields>
  <rowFields count="2">
    <field x="3"/>
    <field x="1"/>
  </rowFields>
  <rowItems count="16">
    <i>
      <x/>
      <x/>
    </i>
    <i r="1">
      <x v="1"/>
    </i>
    <i t="default">
      <x/>
    </i>
    <i>
      <x v="1"/>
      <x v="2"/>
    </i>
    <i r="1">
      <x v="4"/>
    </i>
    <i t="default">
      <x v="1"/>
    </i>
    <i>
      <x v="2"/>
      <x v="3"/>
    </i>
    <i r="1">
      <x v="6"/>
    </i>
    <i t="default">
      <x v="2"/>
    </i>
    <i>
      <x v="3"/>
      <x v="5"/>
    </i>
    <i t="default">
      <x v="3"/>
    </i>
    <i>
      <x v="4"/>
      <x v="7"/>
    </i>
    <i t="default">
      <x v="4"/>
    </i>
    <i>
      <x v="5"/>
      <x v="8"/>
    </i>
    <i t="default">
      <x v="5"/>
    </i>
    <i t="grand">
      <x/>
    </i>
  </rowItems>
  <colItems count="1">
    <i/>
  </colItems>
  <dataFields count="1">
    <dataField name="Soma de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22" dT="2026-01-05T20:09:25.21" personId="{84A209B7-323F-4522-9069-13B451C19B5A}" id="{FEADEB66-BD92-4596-B92C-3CFF31508594}">
    <text>Confra</text>
  </threadedComment>
  <threadedComment ref="F24" dT="2025-09-01T19:28:37.22" personId="{84A209B7-323F-4522-9069-13B451C19B5A}" id="{1313C9D8-8C86-42D6-A1B5-14276E67A106}">
    <text xml:space="preserve">mesa + letreiro em acrílico e logo para eventos
</text>
  </threadedComment>
  <threadedComment ref="F28" dT="2025-09-01T19:22:31.18" personId="{84A209B7-323F-4522-9069-13B451C19B5A}" id="{3A2B6E44-0DFA-410F-8AF5-BE4E534ABDA8}">
    <text>camisetas/camisas para time. Incluir na conta camisetas para Comercial para eventos na hora da cotação</text>
  </threadedComment>
  <threadedComment ref="G36" dT="2025-11-11T18:08:11.41" personId="{210E7A7D-2665-4656-B74C-1E37FD93A1FA}" id="{9AC44183-C2AB-4C30-904C-B38ABEFBC249}">
    <text>181,83 - app que automatiza a integração de leads com fb webflow e o email mkt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M22" dT="2026-01-05T20:09:25.21" personId="{84A209B7-323F-4522-9069-13B451C19B5A}" id="{52E9F265-6CDA-407A-928E-E94A741A1473}">
    <text>Confra</text>
  </threadedComment>
  <threadedComment ref="F24" dT="2025-09-01T19:28:37.22" personId="{84A209B7-323F-4522-9069-13B451C19B5A}" id="{780EC849-4AEC-42C2-A765-A7D55ACC08E0}">
    <text xml:space="preserve">mesa + letreiro em acrílico e logo para eventos
</text>
  </threadedComment>
  <threadedComment ref="F28" dT="2025-09-01T19:22:31.18" personId="{84A209B7-323F-4522-9069-13B451C19B5A}" id="{2176C87C-C387-444B-94C1-D32ACF263477}">
    <text>camisetas/camisas para time. Incluir na conta camisetas para Comercial para eventos na hora da cotação</text>
  </threadedComment>
  <threadedComment ref="AK28" dT="2025-09-01T19:22:31.18" personId="{84A209B7-323F-4522-9069-13B451C19B5A}" id="{4C4FC3D1-3D0F-4F56-962F-11D7D668E760}">
    <text>camisetas/camisas para time. Incluir na conta camisetas para Comercial para eventos na hora da cotação</text>
  </threadedComment>
  <threadedComment ref="G36" dT="2025-11-11T18:08:11.41" personId="{210E7A7D-2665-4656-B74C-1E37FD93A1FA}" id="{F582D93F-7C55-4BC4-B708-C4BC95ACA17E}">
    <text>181,83 - app que automatiza a integração de leads com fb webflow e o email mkt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0" dT="2025-12-10T16:45:33.40" personId="{84A209B7-323F-4522-9069-13B451C19B5A}" id="{FB824F12-1E89-4734-B1A1-D4460A3762F0}">
    <text xml:space="preserve">despacho malas, alimentação, transporte, taxa hotel..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luanet.sharepoint.com/:b:/s/Doris/IQD7Vl6-sQpNQJQaUDPXW-kLAdRubxJIoGkhwPBhuzKq-eM?e=8QAehM" TargetMode="External"/><Relationship Id="rId2" Type="http://schemas.openxmlformats.org/officeDocument/2006/relationships/hyperlink" Target="https://luanet.sharepoint.com/:b:/s/Doris/IQAVm3B4ciDlTpaEpUW8gfSgAYLBPdtONaIabTbI0OtkLsg?e=5oL0MJ" TargetMode="Externa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5A7E-A27F-429B-82E2-46D411B2D031}">
  <dimension ref="B2:G29"/>
  <sheetViews>
    <sheetView topLeftCell="A2" workbookViewId="0">
      <selection activeCell="G15" sqref="G15"/>
    </sheetView>
  </sheetViews>
  <sheetFormatPr defaultRowHeight="14.4" x14ac:dyDescent="0.3"/>
  <cols>
    <col min="2" max="2" width="24.33203125" bestFit="1" customWidth="1"/>
  </cols>
  <sheetData>
    <row r="2" spans="2:7" x14ac:dyDescent="0.3">
      <c r="B2" s="7" t="s">
        <v>0</v>
      </c>
      <c r="G2" s="6" t="s">
        <v>1</v>
      </c>
    </row>
    <row r="3" spans="2:7" x14ac:dyDescent="0.3">
      <c r="B3" s="7" t="s">
        <v>2</v>
      </c>
      <c r="G3" s="6" t="s">
        <v>3</v>
      </c>
    </row>
    <row r="4" spans="2:7" x14ac:dyDescent="0.3">
      <c r="B4" s="7" t="s">
        <v>4</v>
      </c>
      <c r="G4" s="6" t="s">
        <v>5</v>
      </c>
    </row>
    <row r="5" spans="2:7" x14ac:dyDescent="0.3">
      <c r="B5" s="7" t="s">
        <v>6</v>
      </c>
      <c r="G5" s="6" t="s">
        <v>7</v>
      </c>
    </row>
    <row r="6" spans="2:7" x14ac:dyDescent="0.3">
      <c r="B6" s="7" t="s">
        <v>8</v>
      </c>
      <c r="G6" s="6" t="s">
        <v>9</v>
      </c>
    </row>
    <row r="7" spans="2:7" x14ac:dyDescent="0.3">
      <c r="B7" s="63" t="s">
        <v>10</v>
      </c>
      <c r="G7" s="6" t="s">
        <v>11</v>
      </c>
    </row>
    <row r="8" spans="2:7" x14ac:dyDescent="0.3">
      <c r="B8" s="7" t="s">
        <v>12</v>
      </c>
      <c r="G8" s="6" t="s">
        <v>13</v>
      </c>
    </row>
    <row r="9" spans="2:7" x14ac:dyDescent="0.3">
      <c r="G9" t="s">
        <v>14</v>
      </c>
    </row>
    <row r="10" spans="2:7" x14ac:dyDescent="0.3">
      <c r="G10" s="8" t="s">
        <v>15</v>
      </c>
    </row>
    <row r="11" spans="2:7" x14ac:dyDescent="0.3">
      <c r="G11" s="6" t="s">
        <v>9</v>
      </c>
    </row>
    <row r="12" spans="2:7" x14ac:dyDescent="0.3">
      <c r="G12" s="6" t="s">
        <v>16</v>
      </c>
    </row>
    <row r="13" spans="2:7" x14ac:dyDescent="0.3">
      <c r="G13" s="6" t="s">
        <v>17</v>
      </c>
    </row>
    <row r="14" spans="2:7" x14ac:dyDescent="0.3">
      <c r="G14" s="6" t="s">
        <v>18</v>
      </c>
    </row>
    <row r="15" spans="2:7" x14ac:dyDescent="0.3">
      <c r="G15" s="6" t="s">
        <v>19</v>
      </c>
    </row>
    <row r="16" spans="2:7" x14ac:dyDescent="0.3">
      <c r="G16" s="6" t="s">
        <v>20</v>
      </c>
    </row>
    <row r="17" spans="7:7" x14ac:dyDescent="0.3">
      <c r="G17" s="6" t="s">
        <v>21</v>
      </c>
    </row>
    <row r="18" spans="7:7" x14ac:dyDescent="0.3">
      <c r="G18" s="6" t="s">
        <v>22</v>
      </c>
    </row>
    <row r="19" spans="7:7" x14ac:dyDescent="0.3">
      <c r="G19" s="6" t="s">
        <v>23</v>
      </c>
    </row>
    <row r="20" spans="7:7" x14ac:dyDescent="0.3">
      <c r="G20" s="6" t="s">
        <v>24</v>
      </c>
    </row>
    <row r="21" spans="7:7" x14ac:dyDescent="0.3">
      <c r="G21" s="6" t="s">
        <v>25</v>
      </c>
    </row>
    <row r="22" spans="7:7" x14ac:dyDescent="0.3">
      <c r="G22" s="6" t="s">
        <v>26</v>
      </c>
    </row>
    <row r="23" spans="7:7" x14ac:dyDescent="0.3">
      <c r="G23" s="7"/>
    </row>
    <row r="28" spans="7:7" x14ac:dyDescent="0.3">
      <c r="G28" s="6"/>
    </row>
    <row r="29" spans="7:7" x14ac:dyDescent="0.3">
      <c r="G29" s="7"/>
    </row>
  </sheetData>
  <dataValidations count="2">
    <dataValidation type="list" allowBlank="1" showInputMessage="1" showErrorMessage="1" sqref="B2:B6 B8" xr:uid="{0A80F4A4-BEEB-4CA1-8187-F9E59558172D}">
      <formula1>$B$2:$B$8</formula1>
    </dataValidation>
    <dataValidation type="list" allowBlank="1" showInputMessage="1" showErrorMessage="1" sqref="G2:G8 G10:G22" xr:uid="{4C90208E-1394-4887-BFE1-ADB579C29582}">
      <formula1>$G$2:$G$22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D0BD-A7DA-4E54-B2E6-AD574B4C0914}">
  <dimension ref="B3:Q28"/>
  <sheetViews>
    <sheetView showGridLines="0" workbookViewId="0">
      <selection activeCell="H15" sqref="H15"/>
    </sheetView>
  </sheetViews>
  <sheetFormatPr defaultColWidth="12.5546875" defaultRowHeight="14.4" x14ac:dyDescent="0.3"/>
  <cols>
    <col min="1" max="1" width="1.44140625" customWidth="1"/>
    <col min="2" max="2" width="13.6640625" customWidth="1"/>
    <col min="3" max="3" width="14.6640625" customWidth="1"/>
    <col min="4" max="5" width="14.5546875" bestFit="1" customWidth="1"/>
    <col min="7" max="7" width="14.5546875" bestFit="1" customWidth="1"/>
    <col min="15" max="16" width="14.5546875" bestFit="1" customWidth="1"/>
  </cols>
  <sheetData>
    <row r="3" spans="2:17" s="28" customFormat="1" x14ac:dyDescent="0.3">
      <c r="C3" s="28" t="s">
        <v>27</v>
      </c>
      <c r="D3" s="28" t="s">
        <v>28</v>
      </c>
      <c r="E3" s="28" t="s">
        <v>29</v>
      </c>
      <c r="F3" s="28" t="s">
        <v>30</v>
      </c>
      <c r="G3" s="28" t="s">
        <v>31</v>
      </c>
      <c r="H3" s="28" t="s">
        <v>32</v>
      </c>
      <c r="I3" s="28" t="s">
        <v>33</v>
      </c>
      <c r="J3" s="28" t="s">
        <v>34</v>
      </c>
      <c r="K3" s="28" t="s">
        <v>35</v>
      </c>
      <c r="L3" s="28" t="s">
        <v>36</v>
      </c>
      <c r="M3" s="28" t="s">
        <v>37</v>
      </c>
      <c r="N3" s="28" t="s">
        <v>38</v>
      </c>
      <c r="O3" s="28">
        <v>2026</v>
      </c>
    </row>
    <row r="4" spans="2:17" x14ac:dyDescent="0.3">
      <c r="B4" s="28" t="s">
        <v>39</v>
      </c>
      <c r="C4" s="3">
        <f>'Overview (2)'!Q3</f>
        <v>133149</v>
      </c>
      <c r="D4" s="3">
        <f>'Overview (2)'!S3</f>
        <v>133149</v>
      </c>
      <c r="E4" s="3">
        <f>'Overview (2)'!U3</f>
        <v>241962.32</v>
      </c>
      <c r="F4" s="3">
        <f>'Overview (2)'!W3</f>
        <v>366641.65333333332</v>
      </c>
      <c r="G4" s="3">
        <f>'Overview (2)'!Y3</f>
        <v>485834.6</v>
      </c>
      <c r="H4" s="3">
        <f>'Overview (2)'!AA3</f>
        <v>476914.7</v>
      </c>
      <c r="I4" s="3">
        <f>'Overview (2)'!AC3</f>
        <v>1182096.72</v>
      </c>
      <c r="J4" s="3">
        <f>'Overview (2)'!AE3</f>
        <v>1184344.6000000001</v>
      </c>
      <c r="K4" s="3">
        <f>'Overview (2)'!AG3</f>
        <v>1184773.1333333333</v>
      </c>
      <c r="L4" s="3">
        <f>'Overview (2)'!AI3</f>
        <v>2388346.6</v>
      </c>
      <c r="M4" s="3">
        <f>'Overview (2)'!AK3</f>
        <v>2457067.0307692308</v>
      </c>
      <c r="N4" s="3">
        <f>'Overview (2)'!AM3</f>
        <v>2388256</v>
      </c>
      <c r="O4" s="69">
        <f>SUM(C4:N4)</f>
        <v>12622535.357435897</v>
      </c>
      <c r="P4" s="72">
        <f>P8-O4</f>
        <v>2541.6325641032308</v>
      </c>
    </row>
    <row r="5" spans="2:17" x14ac:dyDescent="0.3">
      <c r="B5" s="28" t="s">
        <v>40</v>
      </c>
      <c r="C5" s="3">
        <f>'Overview (2)'!R3</f>
        <v>158606.25</v>
      </c>
      <c r="D5" s="3">
        <f>'Overview (2)'!T3</f>
        <v>122288.3</v>
      </c>
      <c r="E5" s="3">
        <f>'Overview (2)'!V3</f>
        <v>327.59999999999991</v>
      </c>
      <c r="F5" s="3">
        <f>'Overview (2)'!X3</f>
        <v>0</v>
      </c>
      <c r="G5" s="3">
        <f>'Overview (2)'!Z3</f>
        <v>0</v>
      </c>
      <c r="H5" s="3">
        <f>'Overview (2)'!AB3</f>
        <v>0</v>
      </c>
      <c r="I5" s="3">
        <f>'Overview (2)'!AD3</f>
        <v>0</v>
      </c>
      <c r="J5" s="3">
        <f>'Overview (2)'!AF3</f>
        <v>0</v>
      </c>
      <c r="K5" s="3">
        <f>'Overview (2)'!AH3</f>
        <v>0</v>
      </c>
      <c r="L5" s="3">
        <f>'Overview (2)'!AJ3</f>
        <v>0</v>
      </c>
      <c r="M5" s="3">
        <f>'Overview (2)'!AL3</f>
        <v>0</v>
      </c>
      <c r="N5" s="3">
        <f>'Overview (2)'!AN3</f>
        <v>0</v>
      </c>
      <c r="O5" s="3">
        <f>SUM(C5:N5)</f>
        <v>281222.14999999997</v>
      </c>
    </row>
    <row r="6" spans="2:17" x14ac:dyDescent="0.3">
      <c r="B6" s="28" t="s">
        <v>41</v>
      </c>
      <c r="C6" s="3">
        <f>C4-C5</f>
        <v>-25457.25</v>
      </c>
      <c r="D6" s="3">
        <f t="shared" ref="D6:N6" si="0">D4-D5</f>
        <v>10860.699999999997</v>
      </c>
      <c r="E6" s="3">
        <f t="shared" si="0"/>
        <v>241634.72</v>
      </c>
      <c r="F6" s="3">
        <f t="shared" si="0"/>
        <v>366641.65333333332</v>
      </c>
      <c r="G6" s="3">
        <f t="shared" si="0"/>
        <v>485834.6</v>
      </c>
      <c r="H6" s="3">
        <f t="shared" si="0"/>
        <v>476914.7</v>
      </c>
      <c r="I6" s="3">
        <f t="shared" si="0"/>
        <v>1182096.72</v>
      </c>
      <c r="J6" s="3">
        <f t="shared" si="0"/>
        <v>1184344.6000000001</v>
      </c>
      <c r="K6" s="3">
        <f t="shared" si="0"/>
        <v>1184773.1333333333</v>
      </c>
      <c r="L6" s="3">
        <f t="shared" si="0"/>
        <v>2388346.6</v>
      </c>
      <c r="M6" s="3">
        <f t="shared" si="0"/>
        <v>2457067.0307692308</v>
      </c>
      <c r="N6" s="3">
        <f t="shared" si="0"/>
        <v>2388256</v>
      </c>
      <c r="O6" s="3">
        <f>SUM(C6:N6)</f>
        <v>12341313.207435897</v>
      </c>
    </row>
    <row r="7" spans="2:17" x14ac:dyDescent="0.3">
      <c r="B7" s="28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spans="2:17" x14ac:dyDescent="0.3">
      <c r="B8" s="28" t="s">
        <v>42</v>
      </c>
      <c r="C8" s="3">
        <f>(399447.99-133149)/2</f>
        <v>133149.495</v>
      </c>
      <c r="D8" s="3">
        <f>(399447.99-133149)/2</f>
        <v>133149.495</v>
      </c>
      <c r="E8" s="3">
        <v>241000</v>
      </c>
      <c r="F8" s="76">
        <f>476856-108000</f>
        <v>368856</v>
      </c>
      <c r="G8" s="3">
        <v>486856</v>
      </c>
      <c r="H8" s="3">
        <v>476856</v>
      </c>
      <c r="I8" s="3">
        <v>1182171</v>
      </c>
      <c r="J8" s="3">
        <v>1184601</v>
      </c>
      <c r="K8" s="3">
        <v>1184601</v>
      </c>
      <c r="L8" s="3">
        <v>2388056</v>
      </c>
      <c r="M8" s="76">
        <f>2457576</f>
        <v>2457576</v>
      </c>
      <c r="N8" s="3">
        <v>2388056</v>
      </c>
      <c r="O8" s="76">
        <f>SUM(C8:N8)</f>
        <v>12624927.99</v>
      </c>
      <c r="P8" s="72">
        <v>12625076.99</v>
      </c>
      <c r="Q8" s="72"/>
    </row>
    <row r="9" spans="2:17" x14ac:dyDescent="0.3">
      <c r="B9" s="28" t="s">
        <v>41</v>
      </c>
      <c r="C9" s="3">
        <f>C8-C5</f>
        <v>-25456.755000000005</v>
      </c>
      <c r="D9" s="3">
        <f>D8-D5</f>
        <v>10861.194999999992</v>
      </c>
      <c r="E9" s="3">
        <f t="shared" ref="E9:N9" si="1">E8-E5</f>
        <v>240672.4</v>
      </c>
      <c r="F9" s="3">
        <f t="shared" si="1"/>
        <v>368856</v>
      </c>
      <c r="G9" s="3">
        <f t="shared" si="1"/>
        <v>486856</v>
      </c>
      <c r="H9" s="3">
        <f t="shared" si="1"/>
        <v>476856</v>
      </c>
      <c r="I9" s="3">
        <f t="shared" si="1"/>
        <v>1182171</v>
      </c>
      <c r="J9" s="3">
        <f t="shared" si="1"/>
        <v>1184601</v>
      </c>
      <c r="K9" s="3">
        <f t="shared" si="1"/>
        <v>1184601</v>
      </c>
      <c r="L9" s="3">
        <f t="shared" si="1"/>
        <v>2388056</v>
      </c>
      <c r="M9" s="3">
        <f t="shared" si="1"/>
        <v>2457576</v>
      </c>
      <c r="N9" s="3">
        <f t="shared" si="1"/>
        <v>2388056</v>
      </c>
      <c r="O9" s="3">
        <f>SUM(C9:N9)</f>
        <v>12343705.84</v>
      </c>
    </row>
    <row r="10" spans="2:17" s="74" customFormat="1" x14ac:dyDescent="0.3"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</row>
    <row r="11" spans="2:17" x14ac:dyDescent="0.3">
      <c r="C11" s="28" t="s">
        <v>43</v>
      </c>
      <c r="D11" s="28" t="s">
        <v>44</v>
      </c>
      <c r="E11" s="28" t="s">
        <v>45</v>
      </c>
      <c r="F11" s="28" t="s">
        <v>46</v>
      </c>
    </row>
    <row r="12" spans="2:17" x14ac:dyDescent="0.3">
      <c r="B12" s="28" t="s">
        <v>42</v>
      </c>
      <c r="C12" s="3">
        <f>SUM(C8:E8)</f>
        <v>507298.99</v>
      </c>
      <c r="D12" s="3">
        <f>SUM(F8:H8)</f>
        <v>1332568</v>
      </c>
      <c r="E12" s="3">
        <f>SUM(I8:K8)</f>
        <v>3551373</v>
      </c>
      <c r="F12" s="3">
        <f>SUM(L8:N8)</f>
        <v>7233688</v>
      </c>
      <c r="G12" s="3">
        <f>SUM(C12:F12)</f>
        <v>12624927.99</v>
      </c>
      <c r="H12" s="72"/>
    </row>
    <row r="13" spans="2:17" x14ac:dyDescent="0.3">
      <c r="B13" s="28" t="s">
        <v>47</v>
      </c>
      <c r="C13" s="3">
        <f>SUM(C4:E4)</f>
        <v>508260.32</v>
      </c>
      <c r="D13" s="3">
        <f>SUM(F4:H4)</f>
        <v>1329390.9533333334</v>
      </c>
      <c r="E13" s="3">
        <f>SUM(H4:J4)</f>
        <v>2843356.02</v>
      </c>
      <c r="F13" s="3">
        <f>SUM(L4:N4)</f>
        <v>7233669.6307692304</v>
      </c>
      <c r="G13" s="3">
        <f>SUM(C13:F13)</f>
        <v>11914676.924102563</v>
      </c>
      <c r="H13" s="72"/>
    </row>
    <row r="14" spans="2:17" x14ac:dyDescent="0.3">
      <c r="B14" s="28" t="s">
        <v>41</v>
      </c>
      <c r="C14" s="3">
        <f>C12-C13</f>
        <v>-961.3300000000163</v>
      </c>
      <c r="D14" s="3">
        <f>D12-D13</f>
        <v>3177.0466666666325</v>
      </c>
      <c r="E14" s="3">
        <f>E12-E13</f>
        <v>708016.98</v>
      </c>
      <c r="F14" s="3">
        <f>F12-F13</f>
        <v>18.369230769574642</v>
      </c>
      <c r="G14" s="3">
        <f>SUM(C14:F14)</f>
        <v>710251.06589743611</v>
      </c>
    </row>
    <row r="15" spans="2:17" x14ac:dyDescent="0.3"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</row>
    <row r="16" spans="2:17" x14ac:dyDescent="0.3">
      <c r="C16" s="52"/>
      <c r="D16" s="53"/>
      <c r="E16" s="53"/>
      <c r="F16" s="53"/>
    </row>
    <row r="17" spans="3:6" x14ac:dyDescent="0.3">
      <c r="C17" s="54"/>
      <c r="D17" s="3"/>
      <c r="E17" s="3"/>
      <c r="F17" s="55"/>
    </row>
    <row r="18" spans="3:6" x14ac:dyDescent="0.3">
      <c r="C18" s="54"/>
      <c r="D18" s="3"/>
      <c r="E18" s="3"/>
      <c r="F18" s="55"/>
    </row>
    <row r="19" spans="3:6" x14ac:dyDescent="0.3">
      <c r="C19" s="54"/>
      <c r="D19" s="3"/>
      <c r="E19" s="3"/>
      <c r="F19" s="55"/>
    </row>
    <row r="20" spans="3:6" x14ac:dyDescent="0.3">
      <c r="C20" s="54"/>
      <c r="D20" s="3"/>
      <c r="E20" s="3"/>
      <c r="F20" s="55"/>
    </row>
    <row r="21" spans="3:6" x14ac:dyDescent="0.3">
      <c r="C21" s="54"/>
      <c r="D21" s="3"/>
      <c r="E21" s="3"/>
      <c r="F21" s="55"/>
    </row>
    <row r="22" spans="3:6" x14ac:dyDescent="0.3">
      <c r="C22" s="4"/>
      <c r="D22" s="3"/>
      <c r="E22" s="3"/>
      <c r="F22" s="55"/>
    </row>
    <row r="23" spans="3:6" x14ac:dyDescent="0.3">
      <c r="C23" s="54"/>
      <c r="D23" s="3"/>
      <c r="E23" s="3"/>
      <c r="F23" s="55"/>
    </row>
    <row r="24" spans="3:6" x14ac:dyDescent="0.3">
      <c r="D24" s="72"/>
      <c r="E24" s="72"/>
    </row>
    <row r="28" spans="3:6" x14ac:dyDescent="0.3">
      <c r="D28" s="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7C94-1FF9-48C6-A7E5-AF256AD7B1F4}">
  <dimension ref="A1:AR65"/>
  <sheetViews>
    <sheetView showGridLines="0" workbookViewId="0">
      <pane xSplit="1" ySplit="2" topLeftCell="AB3" activePane="bottomRight" state="frozen"/>
      <selection pane="topRight"/>
      <selection pane="bottomLeft"/>
      <selection pane="bottomRight" activeCell="AP16" sqref="AP16"/>
    </sheetView>
  </sheetViews>
  <sheetFormatPr defaultColWidth="9.109375" defaultRowHeight="13.8" x14ac:dyDescent="0.3"/>
  <cols>
    <col min="1" max="1" width="38.88671875" style="6" customWidth="1"/>
    <col min="2" max="2" width="14.88671875" style="1" hidden="1" customWidth="1"/>
    <col min="3" max="3" width="11.88671875" style="26" hidden="1" customWidth="1"/>
    <col min="4" max="4" width="11.88671875" style="1" hidden="1" customWidth="1"/>
    <col min="5" max="5" width="11.88671875" style="26" hidden="1" customWidth="1"/>
    <col min="6" max="6" width="11.88671875" style="1" hidden="1" customWidth="1"/>
    <col min="7" max="7" width="11.88671875" style="26" hidden="1" customWidth="1"/>
    <col min="8" max="9" width="11.88671875" style="1" hidden="1" customWidth="1"/>
    <col min="10" max="10" width="12.109375" style="1" hidden="1" customWidth="1"/>
    <col min="11" max="11" width="9.5546875" style="1" hidden="1" customWidth="1"/>
    <col min="12" max="12" width="2.88671875" style="1" hidden="1" customWidth="1"/>
    <col min="13" max="13" width="12.88671875" style="1" hidden="1" customWidth="1"/>
    <col min="14" max="14" width="9.6640625" style="1" hidden="1" customWidth="1"/>
    <col min="15" max="15" width="0" style="1" hidden="1" customWidth="1"/>
    <col min="16" max="16" width="16.33203125" style="1" bestFit="1" customWidth="1"/>
    <col min="17" max="17" width="10.33203125" style="26" bestFit="1" customWidth="1"/>
    <col min="18" max="18" width="10.44140625" style="26" bestFit="1" customWidth="1"/>
    <col min="19" max="19" width="19" style="26" customWidth="1"/>
    <col min="20" max="20" width="13.33203125" style="26" customWidth="1"/>
    <col min="21" max="21" width="12.44140625" style="26" bestFit="1" customWidth="1"/>
    <col min="22" max="22" width="12" style="1" bestFit="1" customWidth="1"/>
    <col min="23" max="23" width="11.33203125" style="1" bestFit="1" customWidth="1"/>
    <col min="24" max="24" width="9.109375" style="1"/>
    <col min="25" max="25" width="11.33203125" style="1" bestFit="1" customWidth="1"/>
    <col min="26" max="26" width="9.109375" style="1"/>
    <col min="27" max="27" width="12.6640625" style="1" bestFit="1" customWidth="1"/>
    <col min="28" max="28" width="9.109375" style="1"/>
    <col min="29" max="29" width="12.6640625" style="1" bestFit="1" customWidth="1"/>
    <col min="30" max="30" width="9.109375" style="1"/>
    <col min="31" max="31" width="13.44140625" style="1" bestFit="1" customWidth="1"/>
    <col min="32" max="32" width="9.109375" style="1"/>
    <col min="33" max="33" width="12.6640625" style="1" bestFit="1" customWidth="1"/>
    <col min="34" max="34" width="9.6640625" style="1" customWidth="1"/>
    <col min="35" max="35" width="12.6640625" style="1" bestFit="1" customWidth="1"/>
    <col min="36" max="36" width="9.6640625" style="1" customWidth="1"/>
    <col min="37" max="37" width="12.6640625" style="1" bestFit="1" customWidth="1"/>
    <col min="38" max="38" width="9.6640625" style="1" customWidth="1"/>
    <col min="39" max="39" width="12.6640625" style="1" bestFit="1" customWidth="1"/>
    <col min="40" max="40" width="9.109375" style="1"/>
    <col min="41" max="41" width="13.88671875" style="26" bestFit="1" customWidth="1"/>
    <col min="42" max="42" width="12.88671875" style="1" bestFit="1" customWidth="1"/>
    <col min="43" max="43" width="10.5546875" style="1" bestFit="1" customWidth="1"/>
    <col min="44" max="44" width="12.88671875" style="1" bestFit="1" customWidth="1"/>
    <col min="45" max="16384" width="9.109375" style="1"/>
  </cols>
  <sheetData>
    <row r="1" spans="1:44" s="4" customFormat="1" ht="15" customHeight="1" x14ac:dyDescent="0.3">
      <c r="A1" s="7"/>
      <c r="B1" s="81">
        <v>45925</v>
      </c>
      <c r="C1" s="81"/>
      <c r="D1" s="82">
        <v>45955</v>
      </c>
      <c r="E1" s="82"/>
      <c r="F1" s="81">
        <v>45986</v>
      </c>
      <c r="G1" s="81"/>
      <c r="H1" s="81">
        <v>46016</v>
      </c>
      <c r="I1" s="81"/>
      <c r="J1" s="85">
        <v>2025</v>
      </c>
      <c r="K1" s="85"/>
      <c r="L1" s="9"/>
      <c r="M1" s="4" t="s">
        <v>48</v>
      </c>
      <c r="N1" s="4" t="s">
        <v>49</v>
      </c>
      <c r="O1" s="29">
        <v>5.3</v>
      </c>
      <c r="P1" s="31"/>
      <c r="Q1" s="84">
        <v>46048</v>
      </c>
      <c r="R1" s="84"/>
      <c r="S1" s="84">
        <v>46079</v>
      </c>
      <c r="T1" s="84"/>
      <c r="U1" s="81">
        <v>46107</v>
      </c>
      <c r="V1" s="81"/>
      <c r="W1" s="81">
        <v>46138</v>
      </c>
      <c r="X1" s="81"/>
      <c r="Y1" s="81">
        <v>46168</v>
      </c>
      <c r="Z1" s="81"/>
      <c r="AA1" s="81">
        <v>46199</v>
      </c>
      <c r="AB1" s="81"/>
      <c r="AC1" s="81">
        <v>46229</v>
      </c>
      <c r="AD1" s="81"/>
      <c r="AE1" s="81">
        <v>46260</v>
      </c>
      <c r="AF1" s="81"/>
      <c r="AG1" s="81">
        <v>46291</v>
      </c>
      <c r="AH1" s="81"/>
      <c r="AI1" s="82">
        <v>46321</v>
      </c>
      <c r="AJ1" s="82"/>
      <c r="AK1" s="81">
        <v>45987</v>
      </c>
      <c r="AL1" s="81"/>
      <c r="AM1" s="81">
        <v>46017</v>
      </c>
      <c r="AN1" s="81"/>
      <c r="AO1" s="42">
        <v>2026</v>
      </c>
      <c r="AP1" s="5">
        <v>12625077</v>
      </c>
      <c r="AQ1" s="5">
        <f>AP1-AO3</f>
        <v>-12054.907435895875</v>
      </c>
    </row>
    <row r="2" spans="1:44" ht="15" customHeight="1" x14ac:dyDescent="0.3">
      <c r="B2" s="2" t="s">
        <v>39</v>
      </c>
      <c r="C2" s="23" t="s">
        <v>40</v>
      </c>
      <c r="D2" s="2" t="s">
        <v>39</v>
      </c>
      <c r="E2" s="23" t="s">
        <v>40</v>
      </c>
      <c r="F2" s="2" t="s">
        <v>39</v>
      </c>
      <c r="G2" s="23" t="s">
        <v>40</v>
      </c>
      <c r="H2" s="2" t="s">
        <v>39</v>
      </c>
      <c r="I2" s="2" t="s">
        <v>40</v>
      </c>
      <c r="J2" s="2" t="s">
        <v>39</v>
      </c>
      <c r="K2" s="2" t="s">
        <v>40</v>
      </c>
      <c r="L2" s="2"/>
      <c r="Q2" s="23" t="s">
        <v>39</v>
      </c>
      <c r="R2" s="23" t="s">
        <v>40</v>
      </c>
      <c r="S2" s="23" t="s">
        <v>39</v>
      </c>
      <c r="T2" s="23" t="s">
        <v>40</v>
      </c>
      <c r="U2" s="23" t="s">
        <v>39</v>
      </c>
      <c r="V2" s="23" t="s">
        <v>40</v>
      </c>
      <c r="W2" s="2" t="s">
        <v>39</v>
      </c>
      <c r="X2" s="23" t="s">
        <v>40</v>
      </c>
      <c r="Y2" s="2" t="s">
        <v>39</v>
      </c>
      <c r="Z2" s="23" t="s">
        <v>40</v>
      </c>
      <c r="AA2" s="2" t="s">
        <v>39</v>
      </c>
      <c r="AB2" s="23" t="s">
        <v>40</v>
      </c>
      <c r="AC2" s="2" t="s">
        <v>39</v>
      </c>
      <c r="AD2" s="23" t="s">
        <v>40</v>
      </c>
      <c r="AE2" s="2" t="s">
        <v>39</v>
      </c>
      <c r="AF2" s="23" t="s">
        <v>40</v>
      </c>
      <c r="AG2" s="2" t="s">
        <v>39</v>
      </c>
      <c r="AH2" s="23" t="s">
        <v>40</v>
      </c>
      <c r="AI2" s="2" t="s">
        <v>39</v>
      </c>
      <c r="AJ2" s="2" t="s">
        <v>40</v>
      </c>
      <c r="AK2" s="2" t="s">
        <v>39</v>
      </c>
      <c r="AL2" s="2" t="s">
        <v>40</v>
      </c>
      <c r="AM2" s="2" t="s">
        <v>39</v>
      </c>
      <c r="AN2" s="2" t="s">
        <v>40</v>
      </c>
      <c r="AO2" s="23" t="s">
        <v>39</v>
      </c>
      <c r="AP2" s="2" t="s">
        <v>40</v>
      </c>
    </row>
    <row r="3" spans="1:44" ht="16.5" customHeight="1" x14ac:dyDescent="0.3">
      <c r="B3" s="3">
        <f t="shared" ref="B3:I3" si="0">SUM(B5,B12,B17,B21,B31,B40,B26)</f>
        <v>19150</v>
      </c>
      <c r="C3" s="24">
        <f t="shared" si="0"/>
        <v>15798.169999999998</v>
      </c>
      <c r="D3" s="3">
        <f t="shared" si="0"/>
        <v>6079</v>
      </c>
      <c r="E3" s="24">
        <f t="shared" si="0"/>
        <v>44040.460000000006</v>
      </c>
      <c r="F3" s="3">
        <f t="shared" si="0"/>
        <v>60030.5</v>
      </c>
      <c r="G3" s="24">
        <f t="shared" si="0"/>
        <v>17565.05</v>
      </c>
      <c r="H3" s="3">
        <f t="shared" si="0"/>
        <v>153275.5</v>
      </c>
      <c r="I3" s="3">
        <f t="shared" si="0"/>
        <v>12785.66</v>
      </c>
      <c r="J3" s="3">
        <f>SUM(B3,D3,F3,H3)</f>
        <v>238535</v>
      </c>
      <c r="K3" s="3">
        <f>SUM(C3,E3,G3,I3)</f>
        <v>90189.340000000011</v>
      </c>
      <c r="M3" s="3">
        <v>322800</v>
      </c>
      <c r="N3" s="3">
        <f>M3-J3</f>
        <v>84265</v>
      </c>
      <c r="P3" s="3"/>
      <c r="Q3" s="57">
        <v>133149</v>
      </c>
      <c r="R3" s="3">
        <f>SUM(R5,R12,R17,R21,R31,R40,R26,R42)</f>
        <v>158606.25</v>
      </c>
      <c r="S3" s="57">
        <v>133149</v>
      </c>
      <c r="T3" s="3">
        <f t="shared" ref="T3:AP3" si="1">SUM(T5,T12,T17,T21,T31,T40,T26,T42)</f>
        <v>122288.3</v>
      </c>
      <c r="U3" s="24">
        <f t="shared" si="1"/>
        <v>241962.32</v>
      </c>
      <c r="V3" s="3">
        <f t="shared" si="1"/>
        <v>327.59999999999991</v>
      </c>
      <c r="W3" s="3">
        <f t="shared" si="1"/>
        <v>366641.65333333332</v>
      </c>
      <c r="X3" s="3">
        <f t="shared" si="1"/>
        <v>0</v>
      </c>
      <c r="Y3" s="3">
        <f t="shared" si="1"/>
        <v>485834.6</v>
      </c>
      <c r="Z3" s="3">
        <f t="shared" si="1"/>
        <v>0</v>
      </c>
      <c r="AA3" s="57">
        <f t="shared" si="1"/>
        <v>476914.7</v>
      </c>
      <c r="AB3" s="3">
        <f t="shared" si="1"/>
        <v>0</v>
      </c>
      <c r="AC3" s="3">
        <f t="shared" si="1"/>
        <v>1182096.72</v>
      </c>
      <c r="AD3" s="3">
        <f t="shared" si="1"/>
        <v>0</v>
      </c>
      <c r="AE3" s="3">
        <f t="shared" si="1"/>
        <v>1184344.6000000001</v>
      </c>
      <c r="AF3" s="3">
        <f t="shared" si="1"/>
        <v>0</v>
      </c>
      <c r="AG3" s="3">
        <f t="shared" si="1"/>
        <v>1184773.1333333333</v>
      </c>
      <c r="AH3" s="3">
        <f t="shared" si="1"/>
        <v>0</v>
      </c>
      <c r="AI3" s="57">
        <f t="shared" si="1"/>
        <v>2388346.6</v>
      </c>
      <c r="AJ3" s="3">
        <f t="shared" si="1"/>
        <v>0</v>
      </c>
      <c r="AK3" s="3">
        <f t="shared" si="1"/>
        <v>2457067.0307692308</v>
      </c>
      <c r="AL3" s="3">
        <f t="shared" si="1"/>
        <v>0</v>
      </c>
      <c r="AM3" s="3">
        <f t="shared" si="1"/>
        <v>2388256</v>
      </c>
      <c r="AN3" s="3">
        <f t="shared" si="1"/>
        <v>0</v>
      </c>
      <c r="AO3" s="3">
        <f t="shared" si="1"/>
        <v>12637131.907435896</v>
      </c>
      <c r="AP3" s="3">
        <f t="shared" si="1"/>
        <v>281222.15000000002</v>
      </c>
      <c r="AR3" s="3"/>
    </row>
    <row r="4" spans="1:44" x14ac:dyDescent="0.3">
      <c r="A4" s="8"/>
      <c r="B4" s="57"/>
      <c r="C4" s="64"/>
      <c r="D4" s="57"/>
      <c r="E4" s="64"/>
      <c r="F4" s="57"/>
      <c r="G4" s="64"/>
      <c r="H4" s="57"/>
      <c r="I4" s="57"/>
      <c r="J4" s="57"/>
      <c r="K4" s="60"/>
      <c r="L4" s="60"/>
      <c r="M4" s="60"/>
      <c r="N4" s="60"/>
      <c r="O4" s="60"/>
      <c r="P4" s="57"/>
      <c r="Q4" s="57">
        <v>133149</v>
      </c>
      <c r="R4" s="64"/>
      <c r="S4" s="57">
        <v>133149</v>
      </c>
      <c r="T4" s="64"/>
      <c r="U4" s="24">
        <v>241000</v>
      </c>
      <c r="V4" s="64"/>
      <c r="W4" s="57">
        <f>476856-105000</f>
        <v>371856</v>
      </c>
      <c r="X4" s="64"/>
      <c r="Y4" s="57">
        <v>486856</v>
      </c>
      <c r="Z4" s="64"/>
      <c r="AA4" s="57">
        <v>476856</v>
      </c>
      <c r="AB4" s="64"/>
      <c r="AC4" s="57">
        <v>1182171</v>
      </c>
      <c r="AD4" s="64"/>
      <c r="AE4" s="57">
        <v>1184601</v>
      </c>
      <c r="AF4" s="64"/>
      <c r="AG4" s="57">
        <v>1184601</v>
      </c>
      <c r="AH4" s="64"/>
      <c r="AI4" s="57">
        <v>2388056</v>
      </c>
      <c r="AJ4" s="57"/>
      <c r="AK4" s="57">
        <v>2457576</v>
      </c>
      <c r="AL4" s="57"/>
      <c r="AM4" s="57">
        <v>2388056</v>
      </c>
      <c r="AN4" s="57"/>
      <c r="AO4" s="56">
        <f t="shared" ref="AO4:AP6" si="2">SUM(AM4,AK4,AI4,AG4,AE4,AC4,AA4,Y4,W4,U4,S4,Q4)</f>
        <v>12627927</v>
      </c>
      <c r="AP4" s="56">
        <f t="shared" si="2"/>
        <v>0</v>
      </c>
      <c r="AQ4" s="3"/>
      <c r="AR4" s="60"/>
    </row>
    <row r="5" spans="1:44" s="4" customFormat="1" x14ac:dyDescent="0.3">
      <c r="A5" s="7" t="s">
        <v>0</v>
      </c>
      <c r="B5" s="5">
        <f>SUM(B6:B9)</f>
        <v>10000</v>
      </c>
      <c r="C5" s="25">
        <f>SUM(C6:C9)</f>
        <v>7485.3899999999994</v>
      </c>
      <c r="D5" s="5">
        <f t="shared" ref="D5:I5" si="3">SUM(D6:D9)</f>
        <v>4500</v>
      </c>
      <c r="E5" s="25">
        <f>SUM(E6:E9)</f>
        <v>2645.78</v>
      </c>
      <c r="F5" s="5">
        <f t="shared" si="3"/>
        <v>17500</v>
      </c>
      <c r="G5" s="25">
        <f t="shared" si="3"/>
        <v>4328.82</v>
      </c>
      <c r="H5" s="5">
        <f t="shared" si="3"/>
        <v>10000</v>
      </c>
      <c r="I5" s="5">
        <f t="shared" si="3"/>
        <v>0</v>
      </c>
      <c r="J5" s="3">
        <f t="shared" ref="J5:K9" si="4">SUM(B5,D5,F5,H5)</f>
        <v>42000</v>
      </c>
      <c r="K5" s="3">
        <f t="shared" si="4"/>
        <v>14459.99</v>
      </c>
      <c r="P5" s="5"/>
      <c r="Q5" s="25">
        <f t="shared" ref="Q5:AN5" si="5">SUM(Q6:Q10)</f>
        <v>16198.88</v>
      </c>
      <c r="R5" s="25">
        <f t="shared" si="5"/>
        <v>16198.88</v>
      </c>
      <c r="S5" s="25">
        <f t="shared" si="5"/>
        <v>1070.9100000000001</v>
      </c>
      <c r="T5" s="25">
        <f t="shared" si="5"/>
        <v>1070.9100000000001</v>
      </c>
      <c r="U5" s="25">
        <f t="shared" si="5"/>
        <v>0</v>
      </c>
      <c r="V5" s="5">
        <f t="shared" si="5"/>
        <v>0</v>
      </c>
      <c r="W5" s="5">
        <f>SUM(W6:W10)</f>
        <v>162756</v>
      </c>
      <c r="X5" s="5">
        <f t="shared" si="5"/>
        <v>0</v>
      </c>
      <c r="Y5" s="5">
        <f t="shared" si="5"/>
        <v>200249</v>
      </c>
      <c r="Z5" s="5">
        <f t="shared" si="5"/>
        <v>0</v>
      </c>
      <c r="AA5" s="5">
        <f t="shared" si="5"/>
        <v>323422</v>
      </c>
      <c r="AB5" s="5">
        <f t="shared" si="5"/>
        <v>0</v>
      </c>
      <c r="AC5" s="5">
        <f t="shared" si="5"/>
        <v>477254</v>
      </c>
      <c r="AD5" s="5">
        <f t="shared" si="5"/>
        <v>0</v>
      </c>
      <c r="AE5" s="5">
        <f t="shared" si="5"/>
        <v>681021</v>
      </c>
      <c r="AF5" s="5">
        <f t="shared" si="5"/>
        <v>0</v>
      </c>
      <c r="AG5" s="5">
        <f t="shared" si="5"/>
        <v>900241</v>
      </c>
      <c r="AH5" s="5">
        <f t="shared" si="5"/>
        <v>0</v>
      </c>
      <c r="AI5" s="5">
        <f t="shared" si="5"/>
        <v>1145002</v>
      </c>
      <c r="AJ5" s="5">
        <f t="shared" si="5"/>
        <v>0</v>
      </c>
      <c r="AK5" s="5">
        <f t="shared" si="5"/>
        <v>1439021</v>
      </c>
      <c r="AL5" s="5">
        <f t="shared" si="5"/>
        <v>0</v>
      </c>
      <c r="AM5" s="5">
        <f t="shared" si="5"/>
        <v>1815641</v>
      </c>
      <c r="AN5" s="5">
        <f t="shared" si="5"/>
        <v>0</v>
      </c>
      <c r="AO5" s="25">
        <f t="shared" si="2"/>
        <v>7161876.79</v>
      </c>
      <c r="AP5" s="25">
        <f t="shared" si="2"/>
        <v>17269.79</v>
      </c>
    </row>
    <row r="6" spans="1:44" x14ac:dyDescent="0.3">
      <c r="A6" s="6" t="s">
        <v>1</v>
      </c>
      <c r="B6" s="3">
        <v>3000</v>
      </c>
      <c r="C6" s="24">
        <v>614.04999999999995</v>
      </c>
      <c r="D6" s="3"/>
      <c r="E6" s="24">
        <v>1846</v>
      </c>
      <c r="F6" s="3">
        <v>3000</v>
      </c>
      <c r="G6" s="24"/>
      <c r="H6" s="3">
        <v>0</v>
      </c>
      <c r="I6" s="3"/>
      <c r="J6" s="3">
        <f t="shared" si="4"/>
        <v>6000</v>
      </c>
      <c r="K6" s="3">
        <f t="shared" si="4"/>
        <v>2460.0500000000002</v>
      </c>
      <c r="M6" s="3"/>
      <c r="Q6" s="24">
        <v>0</v>
      </c>
      <c r="R6" s="24"/>
      <c r="S6" s="24">
        <v>0</v>
      </c>
      <c r="T6" s="24"/>
      <c r="U6" s="24">
        <v>0</v>
      </c>
      <c r="V6" s="3"/>
      <c r="W6" s="3">
        <v>40431</v>
      </c>
      <c r="X6" s="3"/>
      <c r="Y6" s="3">
        <v>49745</v>
      </c>
      <c r="Z6" s="3"/>
      <c r="AA6" s="3">
        <v>80343</v>
      </c>
      <c r="AB6" s="3"/>
      <c r="AC6" s="3">
        <v>118557</v>
      </c>
      <c r="AD6" s="3"/>
      <c r="AE6" s="3">
        <v>169176</v>
      </c>
      <c r="AF6" s="3"/>
      <c r="AG6" s="3">
        <v>223634</v>
      </c>
      <c r="AH6" s="3"/>
      <c r="AI6" s="3">
        <v>284437</v>
      </c>
      <c r="AJ6" s="3"/>
      <c r="AK6" s="3">
        <v>357476</v>
      </c>
      <c r="AL6" s="3"/>
      <c r="AM6" s="3">
        <v>451034</v>
      </c>
      <c r="AN6" s="3"/>
      <c r="AO6" s="24">
        <f t="shared" si="2"/>
        <v>1774833</v>
      </c>
      <c r="AP6" s="24">
        <f t="shared" si="2"/>
        <v>0</v>
      </c>
      <c r="AQ6" s="61"/>
    </row>
    <row r="7" spans="1:44" x14ac:dyDescent="0.3">
      <c r="A7" s="6" t="s">
        <v>3</v>
      </c>
      <c r="B7" s="3">
        <v>2000</v>
      </c>
      <c r="C7" s="24">
        <v>2000.84</v>
      </c>
      <c r="D7" s="3">
        <v>3000</v>
      </c>
      <c r="E7" s="24">
        <v>477.84</v>
      </c>
      <c r="F7" s="3">
        <v>10000</v>
      </c>
      <c r="G7" s="24">
        <v>4328.82</v>
      </c>
      <c r="H7" s="3">
        <v>10000</v>
      </c>
      <c r="I7" s="3" t="s">
        <v>50</v>
      </c>
      <c r="J7" s="3">
        <f t="shared" si="4"/>
        <v>25000</v>
      </c>
      <c r="K7" s="3">
        <f t="shared" si="4"/>
        <v>6807.5</v>
      </c>
      <c r="M7" s="3"/>
      <c r="Q7" s="24">
        <f>R7</f>
        <v>16198.88</v>
      </c>
      <c r="R7" s="24">
        <f>16198.88</f>
        <v>16198.88</v>
      </c>
      <c r="S7" s="24">
        <f>T7</f>
        <v>1070.9100000000001</v>
      </c>
      <c r="T7" s="24">
        <v>1070.9100000000001</v>
      </c>
      <c r="U7" s="24">
        <v>0</v>
      </c>
      <c r="V7" s="3"/>
      <c r="W7" s="3">
        <v>98086</v>
      </c>
      <c r="X7" s="3"/>
      <c r="Y7" s="3">
        <v>120681</v>
      </c>
      <c r="Z7" s="3"/>
      <c r="AA7" s="3">
        <v>194912</v>
      </c>
      <c r="AB7" s="3"/>
      <c r="AC7" s="3">
        <v>287619</v>
      </c>
      <c r="AD7" s="3"/>
      <c r="AE7" s="3">
        <v>410420</v>
      </c>
      <c r="AF7" s="3"/>
      <c r="AG7" s="3">
        <v>542533</v>
      </c>
      <c r="AH7" s="3"/>
      <c r="AI7" s="3">
        <v>690040</v>
      </c>
      <c r="AJ7" s="3"/>
      <c r="AK7" s="3">
        <v>867232</v>
      </c>
      <c r="AL7" s="3"/>
      <c r="AM7" s="3">
        <v>1094203</v>
      </c>
      <c r="AN7" s="3"/>
      <c r="AO7" s="24">
        <f t="shared" ref="AO7:AP10" si="6">SUM(AM7,AK7,AI7,AG7,AE7,AC7,AA7,Y7,W7,U7,S7,Q7)</f>
        <v>4322995.79</v>
      </c>
      <c r="AP7" s="24">
        <f t="shared" si="6"/>
        <v>17269.79</v>
      </c>
      <c r="AQ7" s="61"/>
      <c r="AR7" s="62"/>
    </row>
    <row r="8" spans="1:44" x14ac:dyDescent="0.3">
      <c r="A8" s="6" t="s">
        <v>5</v>
      </c>
      <c r="B8" s="3">
        <v>5000</v>
      </c>
      <c r="C8" s="24">
        <v>4870.5</v>
      </c>
      <c r="D8" s="3"/>
      <c r="E8" s="24">
        <v>321.94</v>
      </c>
      <c r="F8" s="3">
        <v>1500</v>
      </c>
      <c r="G8" s="24"/>
      <c r="H8" s="3">
        <v>0</v>
      </c>
      <c r="I8" s="3"/>
      <c r="J8" s="3">
        <f t="shared" si="4"/>
        <v>6500</v>
      </c>
      <c r="K8" s="3">
        <f t="shared" si="4"/>
        <v>5192.4399999999996</v>
      </c>
      <c r="Q8" s="24">
        <v>0</v>
      </c>
      <c r="R8" s="24"/>
      <c r="S8" s="24">
        <v>0</v>
      </c>
      <c r="T8" s="24"/>
      <c r="U8" s="24"/>
      <c r="V8" s="3"/>
      <c r="W8" s="3">
        <v>163</v>
      </c>
      <c r="X8" s="3"/>
      <c r="Y8" s="3">
        <v>200</v>
      </c>
      <c r="Z8" s="3"/>
      <c r="AA8" s="3">
        <v>323</v>
      </c>
      <c r="AB8" s="3"/>
      <c r="AC8" s="3">
        <v>477</v>
      </c>
      <c r="AD8" s="3"/>
      <c r="AE8" s="3">
        <v>681</v>
      </c>
      <c r="AF8" s="3"/>
      <c r="AG8" s="3">
        <v>900</v>
      </c>
      <c r="AH8" s="3"/>
      <c r="AI8" s="3">
        <v>1144</v>
      </c>
      <c r="AJ8" s="3"/>
      <c r="AK8" s="3">
        <v>1438</v>
      </c>
      <c r="AL8" s="3"/>
      <c r="AM8" s="3">
        <v>1815</v>
      </c>
      <c r="AN8" s="3"/>
      <c r="AO8" s="24">
        <f t="shared" si="6"/>
        <v>7141</v>
      </c>
      <c r="AP8" s="24">
        <f t="shared" si="6"/>
        <v>0</v>
      </c>
      <c r="AQ8" s="61"/>
    </row>
    <row r="9" spans="1:44" x14ac:dyDescent="0.3">
      <c r="A9" s="6" t="s">
        <v>7</v>
      </c>
      <c r="B9" s="3">
        <v>0</v>
      </c>
      <c r="C9" s="24"/>
      <c r="D9" s="3">
        <v>1500</v>
      </c>
      <c r="E9" s="24"/>
      <c r="F9" s="3">
        <v>3000</v>
      </c>
      <c r="G9" s="24"/>
      <c r="H9" s="3">
        <v>0</v>
      </c>
      <c r="I9" s="3"/>
      <c r="J9" s="3">
        <f t="shared" si="4"/>
        <v>4500</v>
      </c>
      <c r="K9" s="3">
        <f t="shared" si="4"/>
        <v>0</v>
      </c>
      <c r="Q9" s="24">
        <v>0</v>
      </c>
      <c r="R9" s="24"/>
      <c r="S9" s="24">
        <v>0</v>
      </c>
      <c r="T9" s="24"/>
      <c r="U9" s="24"/>
      <c r="V9" s="3"/>
      <c r="W9" s="3">
        <v>14641</v>
      </c>
      <c r="X9" s="3"/>
      <c r="Y9" s="3">
        <v>18014</v>
      </c>
      <c r="Z9" s="3"/>
      <c r="AA9" s="3">
        <v>29094</v>
      </c>
      <c r="AB9" s="3"/>
      <c r="AC9" s="3">
        <v>42933</v>
      </c>
      <c r="AD9" s="3"/>
      <c r="AE9" s="3">
        <v>61263</v>
      </c>
      <c r="AF9" s="3"/>
      <c r="AG9" s="3">
        <v>80984</v>
      </c>
      <c r="AH9" s="3"/>
      <c r="AI9" s="3">
        <v>103002</v>
      </c>
      <c r="AJ9" s="3"/>
      <c r="AK9" s="3">
        <v>129451</v>
      </c>
      <c r="AL9" s="3"/>
      <c r="AM9" s="3">
        <v>163331</v>
      </c>
      <c r="AN9" s="3"/>
      <c r="AO9" s="3">
        <f t="shared" si="6"/>
        <v>642713</v>
      </c>
      <c r="AP9" s="3">
        <f t="shared" si="6"/>
        <v>0</v>
      </c>
      <c r="AQ9" s="61"/>
      <c r="AR9" s="3"/>
    </row>
    <row r="10" spans="1:44" x14ac:dyDescent="0.3">
      <c r="A10" s="6" t="s">
        <v>51</v>
      </c>
      <c r="B10" s="3"/>
      <c r="C10" s="24"/>
      <c r="D10" s="3"/>
      <c r="E10" s="24"/>
      <c r="F10" s="3"/>
      <c r="G10" s="24"/>
      <c r="H10" s="3"/>
      <c r="I10" s="3"/>
      <c r="J10" s="3"/>
      <c r="K10" s="3"/>
      <c r="Q10" s="24">
        <v>0</v>
      </c>
      <c r="R10" s="24"/>
      <c r="S10" s="24">
        <v>0</v>
      </c>
      <c r="T10" s="24"/>
      <c r="U10" s="24"/>
      <c r="V10" s="3"/>
      <c r="W10" s="3">
        <v>9435</v>
      </c>
      <c r="X10" s="3"/>
      <c r="Y10" s="3">
        <v>11609</v>
      </c>
      <c r="Z10" s="3"/>
      <c r="AA10" s="3">
        <v>18750</v>
      </c>
      <c r="AB10" s="3"/>
      <c r="AC10" s="3">
        <v>27668</v>
      </c>
      <c r="AD10" s="3"/>
      <c r="AE10" s="3">
        <v>39481</v>
      </c>
      <c r="AF10" s="3"/>
      <c r="AG10" s="3">
        <v>52190</v>
      </c>
      <c r="AH10" s="3"/>
      <c r="AI10" s="3">
        <v>66379</v>
      </c>
      <c r="AJ10" s="3"/>
      <c r="AK10" s="3">
        <v>83424</v>
      </c>
      <c r="AL10" s="3"/>
      <c r="AM10" s="3">
        <v>105258</v>
      </c>
      <c r="AN10" s="3"/>
      <c r="AO10" s="24">
        <f t="shared" si="6"/>
        <v>414194</v>
      </c>
      <c r="AP10" s="24">
        <f t="shared" si="6"/>
        <v>0</v>
      </c>
      <c r="AQ10" s="61"/>
    </row>
    <row r="11" spans="1:44" x14ac:dyDescent="0.3">
      <c r="B11" s="3"/>
      <c r="C11" s="24"/>
      <c r="D11" s="3"/>
      <c r="E11" s="24"/>
      <c r="F11" s="3"/>
      <c r="G11" s="24"/>
      <c r="H11" s="3"/>
      <c r="I11" s="3"/>
      <c r="J11" s="3"/>
      <c r="Q11" s="24"/>
      <c r="R11" s="24"/>
      <c r="S11" s="24"/>
      <c r="T11" s="24"/>
      <c r="U11" s="24"/>
      <c r="V11" s="24"/>
      <c r="W11" s="3"/>
      <c r="X11" s="24"/>
      <c r="Y11" s="3"/>
      <c r="Z11" s="24"/>
      <c r="AA11" s="3"/>
      <c r="AB11" s="24"/>
      <c r="AC11" s="3"/>
      <c r="AD11" s="24"/>
      <c r="AE11" s="3"/>
      <c r="AF11" s="24"/>
      <c r="AG11" s="3"/>
      <c r="AH11" s="24"/>
      <c r="AI11" s="3"/>
      <c r="AJ11" s="3"/>
      <c r="AK11" s="3"/>
      <c r="AL11" s="3"/>
      <c r="AM11" s="3"/>
      <c r="AN11" s="3"/>
    </row>
    <row r="12" spans="1:44" s="4" customFormat="1" x14ac:dyDescent="0.3">
      <c r="A12" s="7" t="s">
        <v>2</v>
      </c>
      <c r="B12" s="5">
        <f>SUM(B13:B15)</f>
        <v>0</v>
      </c>
      <c r="C12" s="25">
        <f t="shared" ref="C12:I12" si="7">SUM(C13:C15)</f>
        <v>0</v>
      </c>
      <c r="D12" s="5">
        <f t="shared" si="7"/>
        <v>0</v>
      </c>
      <c r="E12" s="25">
        <f t="shared" si="7"/>
        <v>0</v>
      </c>
      <c r="F12" s="5">
        <f t="shared" si="7"/>
        <v>30000</v>
      </c>
      <c r="G12" s="25">
        <f t="shared" si="7"/>
        <v>5800</v>
      </c>
      <c r="H12" s="5">
        <f t="shared" si="7"/>
        <v>30000</v>
      </c>
      <c r="I12" s="5">
        <f t="shared" si="7"/>
        <v>0</v>
      </c>
      <c r="J12" s="3">
        <f t="shared" ref="J12:K15" si="8">SUM(B12,D12,F12,H12)</f>
        <v>60000</v>
      </c>
      <c r="K12" s="3">
        <f t="shared" si="8"/>
        <v>5800</v>
      </c>
      <c r="Q12" s="25">
        <f>SUM(Q13:Q15)</f>
        <v>19300</v>
      </c>
      <c r="R12" s="25">
        <f>SUM(R13:R15)</f>
        <v>19300</v>
      </c>
      <c r="S12" s="25">
        <f t="shared" ref="S12:AN12" si="9">SUM(S13:S15)</f>
        <v>0</v>
      </c>
      <c r="T12" s="25">
        <f t="shared" si="9"/>
        <v>0</v>
      </c>
      <c r="U12" s="25">
        <f t="shared" si="9"/>
        <v>14500</v>
      </c>
      <c r="V12" s="5">
        <f t="shared" si="9"/>
        <v>0</v>
      </c>
      <c r="W12" s="5">
        <f t="shared" si="9"/>
        <v>72000</v>
      </c>
      <c r="X12" s="5">
        <f t="shared" si="9"/>
        <v>0</v>
      </c>
      <c r="Y12" s="5">
        <f t="shared" si="9"/>
        <v>130000</v>
      </c>
      <c r="Z12" s="5">
        <f t="shared" si="9"/>
        <v>0</v>
      </c>
      <c r="AA12" s="5">
        <f t="shared" si="9"/>
        <v>20000</v>
      </c>
      <c r="AB12" s="5">
        <f t="shared" si="9"/>
        <v>0</v>
      </c>
      <c r="AC12" s="5">
        <f t="shared" si="9"/>
        <v>535000</v>
      </c>
      <c r="AD12" s="5">
        <f t="shared" si="9"/>
        <v>0</v>
      </c>
      <c r="AE12" s="5">
        <f t="shared" si="9"/>
        <v>411000</v>
      </c>
      <c r="AF12" s="5">
        <f t="shared" si="9"/>
        <v>0</v>
      </c>
      <c r="AG12" s="5">
        <f t="shared" si="9"/>
        <v>182000</v>
      </c>
      <c r="AH12" s="5">
        <f t="shared" si="9"/>
        <v>0</v>
      </c>
      <c r="AI12" s="5">
        <f t="shared" si="9"/>
        <v>1143000</v>
      </c>
      <c r="AJ12" s="5">
        <f t="shared" si="9"/>
        <v>0</v>
      </c>
      <c r="AK12" s="5">
        <f t="shared" si="9"/>
        <v>608000</v>
      </c>
      <c r="AL12" s="5">
        <f t="shared" si="9"/>
        <v>0</v>
      </c>
      <c r="AM12" s="5">
        <f t="shared" si="9"/>
        <v>451000</v>
      </c>
      <c r="AN12" s="5">
        <f t="shared" si="9"/>
        <v>0</v>
      </c>
      <c r="AO12" s="5">
        <f>SUM(AO13:AO15)</f>
        <v>3585800</v>
      </c>
      <c r="AP12" s="5">
        <f>SUM(AP13:AP15)</f>
        <v>19300</v>
      </c>
    </row>
    <row r="13" spans="1:44" x14ac:dyDescent="0.3">
      <c r="A13" s="6" t="s">
        <v>9</v>
      </c>
      <c r="B13" s="3"/>
      <c r="C13" s="24"/>
      <c r="D13" s="3"/>
      <c r="E13" s="24"/>
      <c r="F13" s="3">
        <v>30000</v>
      </c>
      <c r="G13" s="24">
        <v>5800</v>
      </c>
      <c r="H13" s="3">
        <v>30000</v>
      </c>
      <c r="I13" s="3"/>
      <c r="J13" s="3">
        <f t="shared" si="8"/>
        <v>60000</v>
      </c>
      <c r="K13" s="3">
        <f t="shared" si="8"/>
        <v>5800</v>
      </c>
      <c r="Q13" s="24">
        <f>R13</f>
        <v>19300</v>
      </c>
      <c r="R13" s="24">
        <v>19300</v>
      </c>
      <c r="S13" s="24">
        <v>0</v>
      </c>
      <c r="T13" s="24"/>
      <c r="U13" s="24">
        <v>14500</v>
      </c>
      <c r="V13" s="24"/>
      <c r="W13" s="24">
        <v>72000</v>
      </c>
      <c r="X13" s="24"/>
      <c r="Y13" s="3">
        <v>130000</v>
      </c>
      <c r="Z13" s="24"/>
      <c r="AA13" s="69">
        <v>20000</v>
      </c>
      <c r="AB13" s="24"/>
      <c r="AC13" s="3">
        <v>535000</v>
      </c>
      <c r="AD13" s="24"/>
      <c r="AE13" s="3">
        <v>411000</v>
      </c>
      <c r="AF13" s="24"/>
      <c r="AG13" s="3">
        <v>182000</v>
      </c>
      <c r="AH13" s="24"/>
      <c r="AI13" s="3">
        <v>1143000</v>
      </c>
      <c r="AJ13" s="3"/>
      <c r="AK13" s="3">
        <v>608000</v>
      </c>
      <c r="AL13" s="3"/>
      <c r="AM13" s="3">
        <v>451000</v>
      </c>
      <c r="AN13" s="3"/>
      <c r="AO13" s="24">
        <f t="shared" ref="AO13:AP13" si="10">SUM(AM13,AK13,AI13,AG13,AE13,AC13,AA13,Y13,W13,U13,S13,Q13)</f>
        <v>3585800</v>
      </c>
      <c r="AP13" s="24">
        <f t="shared" si="10"/>
        <v>19300</v>
      </c>
    </row>
    <row r="14" spans="1:44" x14ac:dyDescent="0.3">
      <c r="A14" s="6" t="s">
        <v>11</v>
      </c>
      <c r="B14" s="3"/>
      <c r="C14" s="24"/>
      <c r="D14" s="3"/>
      <c r="E14" s="24"/>
      <c r="F14" s="3"/>
      <c r="G14" s="24"/>
      <c r="H14" s="3"/>
      <c r="I14" s="3"/>
      <c r="J14" s="3">
        <f t="shared" si="8"/>
        <v>0</v>
      </c>
      <c r="K14" s="3">
        <f t="shared" si="8"/>
        <v>0</v>
      </c>
      <c r="Q14" s="24"/>
      <c r="R14" s="24"/>
      <c r="S14" s="24"/>
      <c r="T14" s="24"/>
      <c r="U14" s="24"/>
      <c r="V14" s="24"/>
      <c r="W14" s="3"/>
      <c r="X14" s="24"/>
      <c r="Y14" s="3"/>
      <c r="Z14" s="24"/>
      <c r="AA14" s="3"/>
      <c r="AB14" s="24"/>
      <c r="AC14" s="3"/>
      <c r="AD14" s="24"/>
      <c r="AE14" s="3"/>
      <c r="AF14" s="24"/>
      <c r="AG14" s="3"/>
      <c r="AH14" s="24"/>
      <c r="AI14" s="3"/>
      <c r="AJ14" s="3"/>
      <c r="AK14" s="3"/>
      <c r="AL14" s="3"/>
      <c r="AM14" s="3"/>
      <c r="AN14" s="3"/>
      <c r="AP14" s="26"/>
    </row>
    <row r="15" spans="1:44" x14ac:dyDescent="0.3">
      <c r="A15" s="6" t="s">
        <v>13</v>
      </c>
      <c r="B15" s="3"/>
      <c r="C15" s="24"/>
      <c r="D15" s="3"/>
      <c r="E15" s="24"/>
      <c r="F15" s="3"/>
      <c r="G15" s="24"/>
      <c r="H15" s="3"/>
      <c r="I15" s="3"/>
      <c r="J15" s="3">
        <f t="shared" si="8"/>
        <v>0</v>
      </c>
      <c r="K15" s="3">
        <f t="shared" si="8"/>
        <v>0</v>
      </c>
      <c r="Q15" s="24"/>
      <c r="R15" s="24"/>
      <c r="S15" s="24"/>
      <c r="T15" s="24"/>
      <c r="U15" s="24"/>
      <c r="V15" s="24"/>
      <c r="W15" s="3"/>
      <c r="X15" s="24"/>
      <c r="Y15" s="3"/>
      <c r="Z15" s="24"/>
      <c r="AA15" s="3"/>
      <c r="AB15" s="24"/>
      <c r="AC15" s="3"/>
      <c r="AD15" s="24"/>
      <c r="AE15" s="3"/>
      <c r="AF15" s="24"/>
      <c r="AG15" s="3"/>
      <c r="AH15" s="24"/>
      <c r="AI15" s="3"/>
      <c r="AJ15" s="3"/>
      <c r="AK15" s="3"/>
      <c r="AL15" s="3"/>
      <c r="AM15" s="3"/>
      <c r="AN15" s="3"/>
      <c r="AP15" s="26"/>
    </row>
    <row r="16" spans="1:44" x14ac:dyDescent="0.3">
      <c r="B16" s="3"/>
      <c r="C16" s="24"/>
      <c r="D16" s="3"/>
      <c r="E16" s="24"/>
      <c r="F16" s="3"/>
      <c r="G16" s="24"/>
      <c r="H16" s="3"/>
      <c r="I16" s="3"/>
      <c r="J16" s="3"/>
      <c r="Q16" s="24"/>
      <c r="R16" s="24"/>
      <c r="S16" s="24"/>
      <c r="T16" s="24"/>
      <c r="U16" s="24"/>
      <c r="V16" s="24"/>
      <c r="W16" s="3"/>
      <c r="X16" s="24"/>
      <c r="Y16" s="3"/>
      <c r="Z16" s="24"/>
      <c r="AA16" s="3"/>
      <c r="AB16" s="24"/>
      <c r="AC16" s="3"/>
      <c r="AD16" s="24"/>
      <c r="AE16" s="3"/>
      <c r="AF16" s="24"/>
      <c r="AG16" s="3"/>
      <c r="AH16" s="24"/>
      <c r="AI16" s="3"/>
      <c r="AJ16" s="3"/>
      <c r="AK16" s="3"/>
      <c r="AL16" s="3"/>
      <c r="AM16" s="3"/>
      <c r="AN16" s="3"/>
      <c r="AP16" s="26"/>
    </row>
    <row r="17" spans="1:42" s="4" customFormat="1" x14ac:dyDescent="0.3">
      <c r="A17" s="7" t="s">
        <v>4</v>
      </c>
      <c r="B17" s="5">
        <f t="shared" ref="B17:K17" si="11">SUM(B18:B19)</f>
        <v>200</v>
      </c>
      <c r="C17" s="25">
        <f t="shared" si="11"/>
        <v>0</v>
      </c>
      <c r="D17" s="5">
        <f t="shared" si="11"/>
        <v>1000</v>
      </c>
      <c r="E17" s="25">
        <f t="shared" si="11"/>
        <v>30556.560000000001</v>
      </c>
      <c r="F17" s="5">
        <f t="shared" si="11"/>
        <v>2600</v>
      </c>
      <c r="G17" s="25">
        <f t="shared" si="11"/>
        <v>0</v>
      </c>
      <c r="H17" s="5">
        <f t="shared" si="11"/>
        <v>78500</v>
      </c>
      <c r="I17" s="5">
        <f t="shared" si="11"/>
        <v>0</v>
      </c>
      <c r="J17" s="3">
        <f t="shared" si="11"/>
        <v>1800</v>
      </c>
      <c r="K17" s="3">
        <f t="shared" si="11"/>
        <v>618.41</v>
      </c>
      <c r="Q17" s="25">
        <f t="shared" ref="Q17:AN17" si="12">SUM(Q18:Q19)</f>
        <v>1500</v>
      </c>
      <c r="R17" s="25">
        <f t="shared" si="12"/>
        <v>1500</v>
      </c>
      <c r="S17" s="25">
        <f t="shared" si="12"/>
        <v>0</v>
      </c>
      <c r="T17" s="25">
        <f t="shared" si="12"/>
        <v>0</v>
      </c>
      <c r="U17" s="25">
        <f t="shared" si="12"/>
        <v>0</v>
      </c>
      <c r="V17" s="25">
        <f t="shared" si="12"/>
        <v>0</v>
      </c>
      <c r="W17" s="5">
        <f t="shared" si="12"/>
        <v>0</v>
      </c>
      <c r="X17" s="25">
        <f t="shared" si="12"/>
        <v>0</v>
      </c>
      <c r="Y17" s="5">
        <f t="shared" si="12"/>
        <v>3000</v>
      </c>
      <c r="Z17" s="25">
        <f t="shared" si="12"/>
        <v>0</v>
      </c>
      <c r="AA17" s="5">
        <f t="shared" si="12"/>
        <v>0</v>
      </c>
      <c r="AB17" s="25">
        <f t="shared" si="12"/>
        <v>0</v>
      </c>
      <c r="AC17" s="5">
        <f t="shared" si="12"/>
        <v>3000</v>
      </c>
      <c r="AD17" s="25">
        <f t="shared" si="12"/>
        <v>0</v>
      </c>
      <c r="AE17" s="5">
        <f t="shared" si="12"/>
        <v>500</v>
      </c>
      <c r="AF17" s="25">
        <f t="shared" si="12"/>
        <v>0</v>
      </c>
      <c r="AG17" s="5">
        <f t="shared" si="12"/>
        <v>0</v>
      </c>
      <c r="AH17" s="25">
        <f t="shared" si="12"/>
        <v>0</v>
      </c>
      <c r="AI17" s="5">
        <f t="shared" si="12"/>
        <v>3000</v>
      </c>
      <c r="AJ17" s="5">
        <f t="shared" si="12"/>
        <v>0</v>
      </c>
      <c r="AK17" s="5">
        <f t="shared" si="12"/>
        <v>3000</v>
      </c>
      <c r="AL17" s="5">
        <f t="shared" si="12"/>
        <v>0</v>
      </c>
      <c r="AM17" s="5">
        <f t="shared" si="12"/>
        <v>405</v>
      </c>
      <c r="AN17" s="5">
        <f t="shared" si="12"/>
        <v>0</v>
      </c>
      <c r="AO17" s="25">
        <f>SUM(AM17,AK17,AI17,AG17,AE17,AC17,AA17,Y17,W17,U17,S17,Q17)</f>
        <v>14405</v>
      </c>
      <c r="AP17" s="25">
        <f>SUM(AN17,AL17,AJ17,AH17,AF17,AD17,AB17,Z17,X17,V17,T17,R17)</f>
        <v>1500</v>
      </c>
    </row>
    <row r="18" spans="1:42" s="4" customFormat="1" x14ac:dyDescent="0.3">
      <c r="A18" s="6" t="s">
        <v>14</v>
      </c>
      <c r="B18" s="5"/>
      <c r="C18" s="25"/>
      <c r="D18" s="5"/>
      <c r="E18" s="24">
        <v>29938.15</v>
      </c>
      <c r="F18" s="5">
        <v>2000</v>
      </c>
      <c r="G18" s="25"/>
      <c r="H18" s="3">
        <v>78500</v>
      </c>
      <c r="I18" s="5"/>
      <c r="J18" s="3"/>
      <c r="K18" s="3"/>
      <c r="Q18" s="24">
        <v>1500</v>
      </c>
      <c r="R18" s="24">
        <v>1500</v>
      </c>
      <c r="S18" s="24"/>
      <c r="T18" s="24"/>
      <c r="U18" s="24"/>
      <c r="V18" s="24"/>
      <c r="W18" s="3"/>
      <c r="X18" s="24"/>
      <c r="Y18" s="3">
        <v>3000</v>
      </c>
      <c r="Z18" s="24"/>
      <c r="AA18" s="3"/>
      <c r="AB18" s="24"/>
      <c r="AC18" s="3">
        <v>3000</v>
      </c>
      <c r="AD18" s="24"/>
      <c r="AE18" s="3"/>
      <c r="AF18" s="24"/>
      <c r="AG18" s="3"/>
      <c r="AH18" s="24"/>
      <c r="AI18" s="3">
        <v>3000</v>
      </c>
      <c r="AJ18" s="24"/>
      <c r="AK18" s="3">
        <v>3000</v>
      </c>
      <c r="AL18" s="3"/>
      <c r="AM18" s="3"/>
      <c r="AN18" s="5"/>
      <c r="AO18" s="24">
        <f t="shared" ref="AO18:AP19" si="13">SUM(AM18,AK18,AI18,AG18,AE18,AC18,AA18,Y18,W18,U18,S18,Q18)</f>
        <v>13500</v>
      </c>
      <c r="AP18" s="24">
        <f t="shared" si="13"/>
        <v>1500</v>
      </c>
    </row>
    <row r="19" spans="1:42" x14ac:dyDescent="0.3">
      <c r="A19" s="8" t="s">
        <v>15</v>
      </c>
      <c r="B19" s="3">
        <v>200</v>
      </c>
      <c r="C19" s="24"/>
      <c r="D19" s="3">
        <v>1000</v>
      </c>
      <c r="E19" s="24">
        <v>618.41</v>
      </c>
      <c r="F19" s="3">
        <v>600</v>
      </c>
      <c r="G19" s="24"/>
      <c r="H19" s="3">
        <v>0</v>
      </c>
      <c r="I19" s="3"/>
      <c r="J19" s="3">
        <f>SUM(B19,D19,F19,H19)</f>
        <v>1800</v>
      </c>
      <c r="K19" s="3">
        <f>SUM(C19,E19,G19,I19)</f>
        <v>618.41</v>
      </c>
      <c r="Q19" s="24"/>
      <c r="R19" s="24">
        <v>0</v>
      </c>
      <c r="S19" s="24"/>
      <c r="T19" s="24"/>
      <c r="U19" s="24"/>
      <c r="V19" s="24"/>
      <c r="W19" s="3"/>
      <c r="X19" s="24"/>
      <c r="Y19" s="3"/>
      <c r="Z19" s="24"/>
      <c r="AA19" s="3"/>
      <c r="AB19" s="24"/>
      <c r="AC19" s="3"/>
      <c r="AD19" s="24"/>
      <c r="AE19" s="3">
        <v>500</v>
      </c>
      <c r="AF19" s="24"/>
      <c r="AG19" s="3"/>
      <c r="AH19" s="24"/>
      <c r="AI19" s="3"/>
      <c r="AJ19" s="3"/>
      <c r="AK19" s="3"/>
      <c r="AL19" s="3"/>
      <c r="AM19" s="3">
        <v>405</v>
      </c>
      <c r="AN19" s="3"/>
      <c r="AO19" s="24">
        <f t="shared" si="13"/>
        <v>905</v>
      </c>
      <c r="AP19" s="24">
        <f t="shared" si="13"/>
        <v>0</v>
      </c>
    </row>
    <row r="20" spans="1:42" x14ac:dyDescent="0.3">
      <c r="B20" s="3"/>
      <c r="C20" s="24"/>
      <c r="D20" s="3"/>
      <c r="E20" s="24"/>
      <c r="F20" s="3"/>
      <c r="G20" s="24"/>
      <c r="H20" s="3"/>
      <c r="I20" s="3"/>
      <c r="J20" s="3"/>
      <c r="Q20" s="24"/>
      <c r="R20" s="24"/>
      <c r="S20" s="24"/>
      <c r="T20" s="24"/>
      <c r="U20" s="24"/>
      <c r="V20" s="24"/>
      <c r="W20" s="3"/>
      <c r="X20" s="24"/>
      <c r="Y20" s="3"/>
      <c r="Z20" s="24"/>
      <c r="AA20" s="3"/>
      <c r="AB20" s="24"/>
      <c r="AC20" s="3"/>
      <c r="AD20" s="24"/>
      <c r="AE20" s="3"/>
      <c r="AF20" s="24"/>
      <c r="AG20" s="3"/>
      <c r="AH20" s="24"/>
      <c r="AI20" s="3"/>
      <c r="AJ20" s="3"/>
      <c r="AK20" s="3"/>
      <c r="AL20" s="3"/>
      <c r="AM20" s="3"/>
      <c r="AN20" s="3"/>
      <c r="AP20" s="26"/>
    </row>
    <row r="21" spans="1:42" x14ac:dyDescent="0.3">
      <c r="A21" s="7" t="s">
        <v>6</v>
      </c>
      <c r="B21" s="5">
        <f>SUM(B22:B24)</f>
        <v>450</v>
      </c>
      <c r="C21" s="25">
        <f t="shared" ref="C21:I21" si="14">SUM(C22:C24)</f>
        <v>441.5</v>
      </c>
      <c r="D21" s="5">
        <f>SUM(D22:D24)</f>
        <v>0</v>
      </c>
      <c r="E21" s="25">
        <f t="shared" si="14"/>
        <v>1096.3</v>
      </c>
      <c r="F21" s="5">
        <f>SUM(F22:F24)</f>
        <v>2500</v>
      </c>
      <c r="G21" s="25">
        <f t="shared" si="14"/>
        <v>236</v>
      </c>
      <c r="H21" s="5">
        <f t="shared" si="14"/>
        <v>30000</v>
      </c>
      <c r="I21" s="5">
        <f t="shared" si="14"/>
        <v>12600</v>
      </c>
      <c r="J21" s="3">
        <f>SUM(B21,D21,F21,H21)</f>
        <v>32950</v>
      </c>
      <c r="K21" s="3">
        <f>SUM(C21,E21,G21,I21)</f>
        <v>14373.8</v>
      </c>
      <c r="L21" s="4"/>
      <c r="Q21" s="25">
        <f>SUM(Q22:Q24)</f>
        <v>0</v>
      </c>
      <c r="R21" s="25">
        <f t="shared" ref="R21:T21" si="15">SUM(R22:R24)</f>
        <v>0</v>
      </c>
      <c r="S21" s="25">
        <f>SUM(S22:S24)</f>
        <v>0</v>
      </c>
      <c r="T21" s="25">
        <f t="shared" si="15"/>
        <v>0</v>
      </c>
      <c r="U21" s="25">
        <f>SUM(U22:U24)</f>
        <v>0</v>
      </c>
      <c r="V21" s="25">
        <f t="shared" ref="V21:X21" si="16">SUM(V22:V24)</f>
        <v>0</v>
      </c>
      <c r="W21" s="5">
        <f>SUM(W22:W24)</f>
        <v>0</v>
      </c>
      <c r="X21" s="25">
        <f t="shared" si="16"/>
        <v>0</v>
      </c>
      <c r="Y21" s="5">
        <f>SUM(Y22:Y24)</f>
        <v>0</v>
      </c>
      <c r="Z21" s="25">
        <f t="shared" ref="Z21:AB21" si="17">SUM(Z22:Z24)</f>
        <v>0</v>
      </c>
      <c r="AA21" s="5">
        <f>SUM(AA22:AA24)</f>
        <v>0</v>
      </c>
      <c r="AB21" s="25">
        <f t="shared" si="17"/>
        <v>0</v>
      </c>
      <c r="AC21" s="5">
        <f>SUM(AC22:AC24)</f>
        <v>0</v>
      </c>
      <c r="AD21" s="25">
        <f t="shared" ref="AD21:AF21" si="18">SUM(AD22:AD24)</f>
        <v>0</v>
      </c>
      <c r="AE21" s="5">
        <f>SUM(AE22:AE24)</f>
        <v>0</v>
      </c>
      <c r="AF21" s="25">
        <f t="shared" si="18"/>
        <v>0</v>
      </c>
      <c r="AG21" s="5">
        <f>SUM(AG22:AG24)</f>
        <v>0</v>
      </c>
      <c r="AH21" s="25">
        <f t="shared" ref="AH21" si="19">SUM(AH22:AH24)</f>
        <v>0</v>
      </c>
      <c r="AI21" s="5">
        <f>SUM(AI22:AI24)</f>
        <v>0</v>
      </c>
      <c r="AJ21" s="5">
        <f t="shared" ref="AJ21" si="20">SUM(AJ22:AJ24)</f>
        <v>0</v>
      </c>
      <c r="AK21" s="5">
        <f>SUM(AK22:AK24)</f>
        <v>168000</v>
      </c>
      <c r="AL21" s="5">
        <f t="shared" ref="AL21:AN21" si="21">SUM(AL22:AL24)</f>
        <v>0</v>
      </c>
      <c r="AM21" s="5">
        <f t="shared" si="21"/>
        <v>20000</v>
      </c>
      <c r="AN21" s="5">
        <f t="shared" si="21"/>
        <v>0</v>
      </c>
      <c r="AO21" s="25">
        <f>SUM(AM21,AK21,AI21,AG21,AE21,AC21,AA21,Y21,W21,U21,S21,Q21)</f>
        <v>188000</v>
      </c>
      <c r="AP21" s="25">
        <f>SUM(AN21,AL21,AJ21,AH21,AF21,AD21,AB21,Z21,X21,V21,T21,R21)</f>
        <v>0</v>
      </c>
    </row>
    <row r="22" spans="1:42" x14ac:dyDescent="0.3">
      <c r="A22" s="6" t="s">
        <v>9</v>
      </c>
      <c r="B22" s="3"/>
      <c r="C22" s="24"/>
      <c r="D22" s="3"/>
      <c r="E22" s="24"/>
      <c r="F22" s="3"/>
      <c r="G22" s="24"/>
      <c r="H22" s="3">
        <v>30000</v>
      </c>
      <c r="I22" s="3">
        <v>12600</v>
      </c>
      <c r="J22" s="3">
        <f>SUM(B22,D22,F22,H22)</f>
        <v>30000</v>
      </c>
      <c r="K22" s="3">
        <f>SUM(C22,E22,G22,I22)</f>
        <v>12600</v>
      </c>
      <c r="Q22" s="24"/>
      <c r="R22" s="24"/>
      <c r="S22" s="24"/>
      <c r="T22" s="24"/>
      <c r="U22" s="24"/>
      <c r="V22" s="24"/>
      <c r="W22" s="3"/>
      <c r="X22" s="24"/>
      <c r="Y22" s="3"/>
      <c r="Z22" s="24"/>
      <c r="AA22" s="3"/>
      <c r="AB22" s="24"/>
      <c r="AC22" s="3"/>
      <c r="AD22" s="24"/>
      <c r="AE22" s="3"/>
      <c r="AF22" s="24"/>
      <c r="AG22" s="3"/>
      <c r="AH22" s="24"/>
      <c r="AI22" s="3"/>
      <c r="AJ22" s="3"/>
      <c r="AK22" s="3">
        <v>168000</v>
      </c>
      <c r="AL22" s="3"/>
      <c r="AM22" s="3">
        <v>20000</v>
      </c>
      <c r="AN22" s="3"/>
      <c r="AO22" s="24">
        <f t="shared" ref="AO22:AP22" si="22">SUM(AM22,AK22,AI22,AG22,AE22,AC22,AA22,Y22,W22,U22,S22,Q22)</f>
        <v>188000</v>
      </c>
      <c r="AP22" s="24">
        <f t="shared" si="22"/>
        <v>0</v>
      </c>
    </row>
    <row r="23" spans="1:42" x14ac:dyDescent="0.3">
      <c r="A23" s="6" t="s">
        <v>13</v>
      </c>
      <c r="B23" s="3"/>
      <c r="C23" s="24"/>
      <c r="D23" s="3"/>
      <c r="E23" s="24"/>
      <c r="F23" s="3"/>
      <c r="G23" s="24">
        <v>236</v>
      </c>
      <c r="H23" s="3"/>
      <c r="I23" s="3"/>
      <c r="J23" s="3"/>
      <c r="K23" s="3"/>
      <c r="Q23" s="24"/>
      <c r="R23" s="24"/>
      <c r="S23" s="24"/>
      <c r="T23" s="24"/>
      <c r="U23" s="24"/>
      <c r="V23" s="24"/>
      <c r="W23" s="3"/>
      <c r="X23" s="24"/>
      <c r="Y23" s="3"/>
      <c r="Z23" s="24"/>
      <c r="AA23" s="3"/>
      <c r="AB23" s="24"/>
      <c r="AC23" s="3"/>
      <c r="AD23" s="24"/>
      <c r="AE23" s="3"/>
      <c r="AF23" s="24"/>
      <c r="AG23" s="3"/>
      <c r="AH23" s="24"/>
      <c r="AI23" s="3"/>
      <c r="AJ23" s="3"/>
      <c r="AK23" s="3"/>
      <c r="AL23" s="3"/>
      <c r="AM23" s="3"/>
      <c r="AN23" s="3"/>
      <c r="AP23" s="26"/>
    </row>
    <row r="24" spans="1:42" x14ac:dyDescent="0.3">
      <c r="A24" s="6" t="s">
        <v>16</v>
      </c>
      <c r="B24" s="3">
        <v>450</v>
      </c>
      <c r="C24" s="24">
        <v>441.5</v>
      </c>
      <c r="E24" s="24">
        <v>1096.3</v>
      </c>
      <c r="F24" s="3">
        <v>2500</v>
      </c>
      <c r="G24" s="24"/>
      <c r="H24" s="3"/>
      <c r="I24" s="3"/>
      <c r="J24" s="3"/>
      <c r="K24" s="3"/>
      <c r="Q24" s="24"/>
      <c r="R24" s="24"/>
      <c r="S24" s="24"/>
      <c r="T24" s="24"/>
      <c r="U24" s="24"/>
      <c r="V24" s="24"/>
      <c r="W24" s="3"/>
      <c r="X24" s="24"/>
      <c r="Y24" s="3"/>
      <c r="Z24" s="24"/>
      <c r="AA24" s="3"/>
      <c r="AB24" s="24"/>
      <c r="AC24" s="3"/>
      <c r="AD24" s="24"/>
      <c r="AE24" s="3"/>
      <c r="AF24" s="24"/>
      <c r="AG24" s="3"/>
      <c r="AH24" s="24"/>
      <c r="AJ24" s="3"/>
      <c r="AK24" s="3"/>
      <c r="AL24" s="3"/>
      <c r="AM24" s="3"/>
      <c r="AN24" s="3"/>
      <c r="AP24" s="26"/>
    </row>
    <row r="25" spans="1:42" x14ac:dyDescent="0.3">
      <c r="B25" s="3"/>
      <c r="C25" s="24"/>
      <c r="D25" s="3"/>
      <c r="E25" s="24"/>
      <c r="F25" s="3"/>
      <c r="G25" s="24"/>
      <c r="H25" s="3"/>
      <c r="I25" s="3"/>
      <c r="J25" s="3"/>
      <c r="K25" s="3"/>
      <c r="Q25" s="24"/>
      <c r="R25" s="24"/>
      <c r="S25" s="24"/>
      <c r="T25" s="24"/>
      <c r="U25" s="24"/>
      <c r="V25" s="24"/>
      <c r="W25" s="3"/>
      <c r="X25" s="24"/>
      <c r="Y25" s="3"/>
      <c r="Z25" s="24"/>
      <c r="AA25" s="3"/>
      <c r="AB25" s="24"/>
      <c r="AC25" s="3"/>
      <c r="AD25" s="24"/>
      <c r="AE25" s="3"/>
      <c r="AF25" s="24"/>
      <c r="AG25" s="3"/>
      <c r="AH25" s="24"/>
      <c r="AI25" s="3"/>
      <c r="AJ25" s="3"/>
      <c r="AK25" s="3"/>
      <c r="AL25" s="3"/>
      <c r="AM25" s="3"/>
      <c r="AN25" s="3"/>
      <c r="AP25" s="26"/>
    </row>
    <row r="26" spans="1:42" s="4" customFormat="1" x14ac:dyDescent="0.3">
      <c r="A26" s="7" t="s">
        <v>8</v>
      </c>
      <c r="B26" s="5">
        <f t="shared" ref="B26:I26" si="23">SUM(B27:B28)</f>
        <v>0</v>
      </c>
      <c r="C26" s="25">
        <f t="shared" si="23"/>
        <v>0</v>
      </c>
      <c r="D26" s="5">
        <f t="shared" si="23"/>
        <v>304</v>
      </c>
      <c r="E26" s="25">
        <f t="shared" si="23"/>
        <v>3722</v>
      </c>
      <c r="F26" s="5">
        <f>SUM(F27:F28)</f>
        <v>7200</v>
      </c>
      <c r="G26" s="25">
        <f t="shared" si="23"/>
        <v>6822</v>
      </c>
      <c r="H26" s="5">
        <f t="shared" si="23"/>
        <v>0</v>
      </c>
      <c r="I26" s="5">
        <f t="shared" si="23"/>
        <v>0</v>
      </c>
      <c r="J26" s="3">
        <f t="shared" ref="J26:K28" si="24">SUM(B26,D26,F26,H26)</f>
        <v>7504</v>
      </c>
      <c r="K26" s="3">
        <f t="shared" si="24"/>
        <v>10544</v>
      </c>
      <c r="Q26" s="25">
        <f>SUM(Q27:Q29)</f>
        <v>0</v>
      </c>
      <c r="R26" s="25">
        <f t="shared" ref="R26:AN26" si="25">SUM(R27:R29)</f>
        <v>0</v>
      </c>
      <c r="S26" s="25">
        <f t="shared" si="25"/>
        <v>0</v>
      </c>
      <c r="T26" s="25">
        <f t="shared" si="25"/>
        <v>0</v>
      </c>
      <c r="U26" s="25">
        <f t="shared" si="25"/>
        <v>105950</v>
      </c>
      <c r="V26" s="5">
        <f t="shared" si="25"/>
        <v>0</v>
      </c>
      <c r="W26" s="5">
        <f t="shared" si="25"/>
        <v>0</v>
      </c>
      <c r="X26" s="5">
        <f t="shared" si="25"/>
        <v>0</v>
      </c>
      <c r="Y26" s="5">
        <f t="shared" si="25"/>
        <v>11600</v>
      </c>
      <c r="Z26" s="5">
        <f t="shared" si="25"/>
        <v>0</v>
      </c>
      <c r="AA26" s="5">
        <f t="shared" si="25"/>
        <v>0</v>
      </c>
      <c r="AB26" s="5">
        <f t="shared" si="25"/>
        <v>0</v>
      </c>
      <c r="AC26" s="5">
        <f t="shared" si="25"/>
        <v>79808</v>
      </c>
      <c r="AD26" s="5">
        <f t="shared" si="25"/>
        <v>0</v>
      </c>
      <c r="AE26" s="5">
        <f t="shared" si="25"/>
        <v>0</v>
      </c>
      <c r="AF26" s="5">
        <f t="shared" si="25"/>
        <v>0</v>
      </c>
      <c r="AG26" s="5">
        <f t="shared" si="25"/>
        <v>11600</v>
      </c>
      <c r="AH26" s="5">
        <f t="shared" si="25"/>
        <v>0</v>
      </c>
      <c r="AI26" s="5">
        <f t="shared" si="25"/>
        <v>0</v>
      </c>
      <c r="AJ26" s="5">
        <f t="shared" si="25"/>
        <v>0</v>
      </c>
      <c r="AK26" s="5">
        <f t="shared" si="25"/>
        <v>80000</v>
      </c>
      <c r="AL26" s="5">
        <f t="shared" si="25"/>
        <v>0</v>
      </c>
      <c r="AM26" s="5">
        <f>SUM(AM27:AM29)</f>
        <v>11600</v>
      </c>
      <c r="AN26" s="5">
        <f t="shared" si="25"/>
        <v>0</v>
      </c>
      <c r="AO26" s="25">
        <f>SUM(AM26,AK26,AI26,AG26,AE26,AC26,AA26,Y26,W26,U26,S26,Q26)</f>
        <v>300558</v>
      </c>
      <c r="AP26" s="25">
        <f>SUM(AN26,AL26,AJ26,AH26,AF26,AD26,AB26,Z26,X26,V26,T26,R26)</f>
        <v>0</v>
      </c>
    </row>
    <row r="27" spans="1:42" x14ac:dyDescent="0.3">
      <c r="A27" s="6" t="s">
        <v>17</v>
      </c>
      <c r="C27" s="24"/>
      <c r="D27" s="3"/>
      <c r="E27" s="24">
        <v>1622</v>
      </c>
      <c r="F27" s="3"/>
      <c r="G27" s="24">
        <v>3955</v>
      </c>
      <c r="H27" s="3"/>
      <c r="I27" s="3"/>
      <c r="J27" s="3">
        <f t="shared" si="24"/>
        <v>0</v>
      </c>
      <c r="K27" s="3">
        <f t="shared" si="24"/>
        <v>5577</v>
      </c>
      <c r="R27" s="24"/>
      <c r="S27" s="24"/>
      <c r="T27" s="24"/>
      <c r="U27" s="24"/>
      <c r="V27" s="24"/>
      <c r="W27" s="3"/>
      <c r="X27" s="24"/>
      <c r="Y27" s="3">
        <f>5800*2</f>
        <v>11600</v>
      </c>
      <c r="Z27" s="24"/>
      <c r="AA27" s="3"/>
      <c r="AB27" s="24"/>
      <c r="AC27" s="3">
        <f>5800*2</f>
        <v>11600</v>
      </c>
      <c r="AD27" s="24"/>
      <c r="AE27" s="3"/>
      <c r="AF27" s="24"/>
      <c r="AG27" s="3">
        <f>5800*2</f>
        <v>11600</v>
      </c>
      <c r="AH27" s="24"/>
      <c r="AI27" s="3"/>
      <c r="AJ27" s="3"/>
      <c r="AK27" s="3"/>
      <c r="AL27" s="3"/>
      <c r="AM27" s="3">
        <f>5800*2</f>
        <v>11600</v>
      </c>
      <c r="AN27" s="3"/>
      <c r="AO27" s="24">
        <f>SUM(AM27,AK27,AI27,AG27,AE27,AC27,AA27,Y27,W27,U27,S27,Q27)</f>
        <v>46400</v>
      </c>
      <c r="AP27" s="24">
        <f t="shared" ref="AO27:AP29" si="26">SUM(AN27,AL27,AJ27,AH27,AF27,AD27,AB27,Z27,X27,V27,T27,R27)</f>
        <v>0</v>
      </c>
    </row>
    <row r="28" spans="1:42" x14ac:dyDescent="0.3">
      <c r="A28" s="6" t="s">
        <v>18</v>
      </c>
      <c r="B28" s="3"/>
      <c r="C28" s="24"/>
      <c r="D28" s="1">
        <v>304</v>
      </c>
      <c r="E28" s="24">
        <v>2100</v>
      </c>
      <c r="F28" s="3">
        <f>SUM(60*120)</f>
        <v>7200</v>
      </c>
      <c r="G28" s="24">
        <v>2867</v>
      </c>
      <c r="H28" s="3"/>
      <c r="I28" s="3"/>
      <c r="J28" s="3">
        <f t="shared" si="24"/>
        <v>7504</v>
      </c>
      <c r="K28" s="3">
        <f t="shared" si="24"/>
        <v>4967</v>
      </c>
      <c r="Q28" s="24"/>
      <c r="R28" s="24"/>
      <c r="S28" s="24"/>
      <c r="T28" s="24"/>
      <c r="U28" s="24"/>
      <c r="V28" s="24"/>
      <c r="W28" s="3"/>
      <c r="X28" s="24"/>
      <c r="Y28" s="3"/>
      <c r="Z28" s="24"/>
      <c r="AA28" s="3"/>
      <c r="AB28" s="24"/>
      <c r="AC28" s="3"/>
      <c r="AD28" s="24"/>
      <c r="AE28" s="3"/>
      <c r="AF28" s="24"/>
      <c r="AG28" s="3"/>
      <c r="AH28" s="24"/>
      <c r="AJ28" s="3"/>
      <c r="AK28" s="3"/>
      <c r="AL28" s="3"/>
      <c r="AM28" s="3"/>
      <c r="AN28" s="3"/>
      <c r="AO28" s="24">
        <f>SUM(AM28,AK28,AI28,AG28,AE28,AC28,AA28,Y28,W28,U28,S28,Q28)</f>
        <v>0</v>
      </c>
      <c r="AP28" s="24">
        <f t="shared" si="26"/>
        <v>0</v>
      </c>
    </row>
    <row r="29" spans="1:42" x14ac:dyDescent="0.3">
      <c r="A29" s="6" t="s">
        <v>52</v>
      </c>
      <c r="B29" s="3"/>
      <c r="C29" s="24"/>
      <c r="E29" s="24"/>
      <c r="F29" s="3"/>
      <c r="G29" s="24"/>
      <c r="H29" s="3"/>
      <c r="I29" s="3"/>
      <c r="J29" s="3"/>
      <c r="K29" s="3"/>
      <c r="Q29" s="24"/>
      <c r="R29" s="24"/>
      <c r="S29" s="24"/>
      <c r="T29" s="24"/>
      <c r="U29" s="24">
        <v>105950</v>
      </c>
      <c r="V29" s="24"/>
      <c r="W29" s="3"/>
      <c r="X29" s="24"/>
      <c r="Y29" s="3"/>
      <c r="Z29" s="24"/>
      <c r="AA29" s="3"/>
      <c r="AB29" s="24"/>
      <c r="AC29" s="3">
        <v>68208</v>
      </c>
      <c r="AD29" s="24"/>
      <c r="AE29" s="3"/>
      <c r="AF29" s="24"/>
      <c r="AG29" s="3"/>
      <c r="AH29" s="24"/>
      <c r="AJ29" s="3"/>
      <c r="AK29" s="3">
        <v>80000</v>
      </c>
      <c r="AL29" s="3"/>
      <c r="AM29" s="3"/>
      <c r="AN29" s="3"/>
      <c r="AO29" s="24">
        <f t="shared" si="26"/>
        <v>254158</v>
      </c>
      <c r="AP29" s="24">
        <f t="shared" si="26"/>
        <v>0</v>
      </c>
    </row>
    <row r="30" spans="1:42" x14ac:dyDescent="0.3">
      <c r="B30" s="3"/>
      <c r="C30" s="24"/>
      <c r="D30" s="3"/>
      <c r="E30" s="24"/>
      <c r="F30" s="3"/>
      <c r="G30" s="24"/>
      <c r="H30" s="3"/>
      <c r="I30" s="3"/>
      <c r="J30" s="3"/>
      <c r="K30" s="3"/>
      <c r="Q30" s="24"/>
      <c r="R30" s="24"/>
      <c r="S30" s="24"/>
      <c r="T30" s="24"/>
      <c r="U30" s="24"/>
      <c r="V30" s="24"/>
      <c r="W30" s="3"/>
      <c r="X30" s="24"/>
      <c r="Y30" s="3"/>
      <c r="Z30" s="24"/>
      <c r="AA30" s="3"/>
      <c r="AB30" s="24"/>
      <c r="AC30" s="3"/>
      <c r="AD30" s="24"/>
      <c r="AE30" s="3"/>
      <c r="AF30" s="24"/>
      <c r="AG30" s="3"/>
      <c r="AH30" s="24"/>
      <c r="AI30" s="3"/>
      <c r="AJ30" s="3"/>
      <c r="AK30" s="3"/>
      <c r="AL30" s="3"/>
      <c r="AM30" s="3"/>
      <c r="AN30" s="3"/>
      <c r="AP30" s="26"/>
    </row>
    <row r="31" spans="1:42" s="4" customFormat="1" x14ac:dyDescent="0.3">
      <c r="A31" s="7" t="s">
        <v>10</v>
      </c>
      <c r="B31" s="5">
        <f>SUM(B32:B37)</f>
        <v>6500</v>
      </c>
      <c r="C31" s="25">
        <f>SUM(C32:C38)</f>
        <v>6784.9</v>
      </c>
      <c r="D31" s="25">
        <f t="shared" ref="D31:K31" si="27">SUM(D32:D38)</f>
        <v>275</v>
      </c>
      <c r="E31" s="25">
        <f t="shared" si="27"/>
        <v>424.62</v>
      </c>
      <c r="F31" s="25">
        <f t="shared" si="27"/>
        <v>230.5</v>
      </c>
      <c r="G31" s="25">
        <f t="shared" si="27"/>
        <v>378.23</v>
      </c>
      <c r="H31" s="25">
        <f t="shared" si="27"/>
        <v>4775.5</v>
      </c>
      <c r="I31" s="25">
        <f t="shared" si="27"/>
        <v>185.66</v>
      </c>
      <c r="J31" s="25">
        <f t="shared" si="27"/>
        <v>11781</v>
      </c>
      <c r="K31" s="25">
        <f t="shared" si="27"/>
        <v>7773.41</v>
      </c>
      <c r="Q31" s="25">
        <f t="shared" ref="Q31:AB31" si="28">SUM(Q32:Q38)</f>
        <v>52087.37</v>
      </c>
      <c r="R31" s="25">
        <f t="shared" si="28"/>
        <v>52087.37</v>
      </c>
      <c r="S31" s="25">
        <f t="shared" si="28"/>
        <v>51697.39</v>
      </c>
      <c r="T31" s="25">
        <f t="shared" si="28"/>
        <v>51697.39</v>
      </c>
      <c r="U31" s="25">
        <f t="shared" si="28"/>
        <v>51992.32</v>
      </c>
      <c r="V31" s="5">
        <f t="shared" si="28"/>
        <v>327.59999999999991</v>
      </c>
      <c r="W31" s="5">
        <f t="shared" si="28"/>
        <v>62365.653333333335</v>
      </c>
      <c r="X31" s="5">
        <f t="shared" si="28"/>
        <v>0</v>
      </c>
      <c r="Y31" s="5">
        <f t="shared" si="28"/>
        <v>68965.600000000006</v>
      </c>
      <c r="Z31" s="5">
        <f t="shared" si="28"/>
        <v>0</v>
      </c>
      <c r="AA31" s="5">
        <f t="shared" si="28"/>
        <v>63972.7</v>
      </c>
      <c r="AB31" s="5">
        <f t="shared" si="28"/>
        <v>0</v>
      </c>
      <c r="AC31" s="5">
        <f>SUM(AC32:AC38)</f>
        <v>15014.72</v>
      </c>
      <c r="AD31" s="5">
        <f t="shared" ref="AD31:AN31" si="29">SUM(AD32:AD38)</f>
        <v>0</v>
      </c>
      <c r="AE31" s="5">
        <f t="shared" si="29"/>
        <v>22303.600000000002</v>
      </c>
      <c r="AF31" s="5">
        <f t="shared" si="29"/>
        <v>0</v>
      </c>
      <c r="AG31" s="5">
        <f t="shared" si="29"/>
        <v>18912.133333333331</v>
      </c>
      <c r="AH31" s="5">
        <f t="shared" si="29"/>
        <v>0</v>
      </c>
      <c r="AI31" s="5">
        <f t="shared" si="29"/>
        <v>27824.6</v>
      </c>
      <c r="AJ31" s="5">
        <f t="shared" si="29"/>
        <v>0</v>
      </c>
      <c r="AK31" s="5">
        <f t="shared" si="29"/>
        <v>17506.030769230769</v>
      </c>
      <c r="AL31" s="5">
        <f t="shared" si="29"/>
        <v>0</v>
      </c>
      <c r="AM31" s="5">
        <f t="shared" si="29"/>
        <v>20090</v>
      </c>
      <c r="AN31" s="5">
        <f t="shared" si="29"/>
        <v>0</v>
      </c>
      <c r="AO31" s="25">
        <f>SUM(AM31,AK31,AI31,AG31,AE31,AC31,AA31,Y31,W31,U31,S31,Q31)</f>
        <v>472732.11743589747</v>
      </c>
      <c r="AP31" s="25">
        <f>SUM(AN31,AL31,AJ31,AH31,AF31,AD31,AB31,Z31,X31,V31,T31,R31)</f>
        <v>104112.36</v>
      </c>
    </row>
    <row r="32" spans="1:42" x14ac:dyDescent="0.3">
      <c r="A32" s="6" t="s">
        <v>53</v>
      </c>
      <c r="B32" s="3">
        <v>300</v>
      </c>
      <c r="C32" s="24">
        <v>300</v>
      </c>
      <c r="D32" s="3"/>
      <c r="E32" s="24"/>
      <c r="F32" s="3"/>
      <c r="G32" s="24"/>
      <c r="H32" s="3"/>
      <c r="I32" s="3"/>
      <c r="J32" s="3">
        <f t="shared" ref="J32:K37" si="30">SUM(B32,D32,F32,H32)</f>
        <v>300</v>
      </c>
      <c r="K32" s="3">
        <f t="shared" si="30"/>
        <v>300</v>
      </c>
      <c r="Q32" s="24"/>
      <c r="R32" s="24"/>
      <c r="S32" s="24"/>
      <c r="T32" s="24"/>
      <c r="U32" s="24"/>
      <c r="V32" s="24"/>
      <c r="W32" s="3"/>
      <c r="X32" s="24"/>
      <c r="Y32" s="3">
        <v>6000</v>
      </c>
      <c r="Z32" s="24"/>
      <c r="AA32" s="3"/>
      <c r="AB32" s="24"/>
      <c r="AC32" s="3"/>
      <c r="AD32" s="24"/>
      <c r="AE32" s="3">
        <v>6000</v>
      </c>
      <c r="AF32" s="24"/>
      <c r="AG32" s="3"/>
      <c r="AH32" s="24"/>
      <c r="AI32" s="3">
        <v>6000</v>
      </c>
      <c r="AJ32" s="3"/>
      <c r="AK32" s="3"/>
      <c r="AL32" s="3"/>
      <c r="AM32" s="3"/>
      <c r="AN32" s="3"/>
      <c r="AO32" s="24">
        <f t="shared" ref="AO32:AP38" si="31">SUM(AM32,AK32,AI32,AG32,AE32,AC32,AA32,Y32,W32,U32,S32,Q32)</f>
        <v>18000</v>
      </c>
      <c r="AP32" s="24">
        <f t="shared" si="31"/>
        <v>0</v>
      </c>
    </row>
    <row r="33" spans="1:43" x14ac:dyDescent="0.3">
      <c r="A33" s="6" t="s">
        <v>21</v>
      </c>
      <c r="B33" s="3">
        <v>6000</v>
      </c>
      <c r="C33" s="24">
        <v>6000</v>
      </c>
      <c r="D33" s="3"/>
      <c r="E33" s="24"/>
      <c r="F33" s="3"/>
      <c r="G33" s="24"/>
      <c r="H33" s="3"/>
      <c r="I33" s="3"/>
      <c r="J33" s="3">
        <f t="shared" si="30"/>
        <v>6000</v>
      </c>
      <c r="K33" s="3">
        <f t="shared" si="30"/>
        <v>6000</v>
      </c>
      <c r="Q33" s="24"/>
      <c r="R33" s="24"/>
      <c r="S33" s="24"/>
      <c r="T33" s="24"/>
      <c r="U33" s="24"/>
      <c r="V33" s="24"/>
      <c r="W33" s="3"/>
      <c r="X33" s="24"/>
      <c r="Y33" s="3"/>
      <c r="Z33" s="24"/>
      <c r="AA33" s="3"/>
      <c r="AB33" s="24"/>
      <c r="AC33" s="3"/>
      <c r="AD33" s="24"/>
      <c r="AE33" s="3"/>
      <c r="AF33" s="24"/>
      <c r="AG33" s="3"/>
      <c r="AH33" s="24"/>
      <c r="AI33" s="3"/>
      <c r="AJ33" s="3"/>
      <c r="AK33" s="3"/>
      <c r="AL33" s="3"/>
      <c r="AM33" s="3"/>
      <c r="AN33" s="3"/>
      <c r="AO33" s="24">
        <f t="shared" si="31"/>
        <v>0</v>
      </c>
      <c r="AP33" s="24">
        <f t="shared" si="31"/>
        <v>0</v>
      </c>
    </row>
    <row r="34" spans="1:43" x14ac:dyDescent="0.3">
      <c r="A34" s="6" t="s">
        <v>54</v>
      </c>
      <c r="B34" s="3"/>
      <c r="C34" s="24"/>
      <c r="D34" s="3">
        <v>175</v>
      </c>
      <c r="E34" s="24"/>
      <c r="F34" s="3">
        <v>130.5</v>
      </c>
      <c r="G34" s="24"/>
      <c r="H34" s="3">
        <v>175.5</v>
      </c>
      <c r="I34" s="3">
        <f>46.88+8.28+130.5</f>
        <v>185.66</v>
      </c>
      <c r="J34" s="3">
        <f t="shared" si="30"/>
        <v>481</v>
      </c>
      <c r="K34" s="3">
        <f t="shared" si="30"/>
        <v>185.66</v>
      </c>
      <c r="Q34" s="24">
        <f>R34</f>
        <v>791.59</v>
      </c>
      <c r="R34" s="24">
        <v>791.59</v>
      </c>
      <c r="S34" s="24">
        <f>T34</f>
        <v>524.99</v>
      </c>
      <c r="T34" s="24">
        <v>524.99</v>
      </c>
      <c r="U34" s="24">
        <f>310.5+181.82</f>
        <v>492.32</v>
      </c>
      <c r="V34" s="24"/>
      <c r="W34" s="3">
        <f>310.5+181.82</f>
        <v>492.32</v>
      </c>
      <c r="X34" s="24"/>
      <c r="Y34" s="3">
        <v>200</v>
      </c>
      <c r="Z34" s="24"/>
      <c r="AA34" s="3">
        <v>200</v>
      </c>
      <c r="AB34" s="3"/>
      <c r="AC34" s="3">
        <v>200</v>
      </c>
      <c r="AD34" s="3"/>
      <c r="AE34" s="3">
        <v>200</v>
      </c>
      <c r="AF34" s="3"/>
      <c r="AG34" s="3">
        <v>200</v>
      </c>
      <c r="AH34" s="24"/>
      <c r="AI34" s="3">
        <v>200</v>
      </c>
      <c r="AJ34" s="3"/>
      <c r="AK34" s="3">
        <v>200</v>
      </c>
      <c r="AL34" s="3"/>
      <c r="AM34" s="3">
        <v>200</v>
      </c>
      <c r="AN34" s="3"/>
      <c r="AO34" s="24">
        <f t="shared" si="31"/>
        <v>3901.2200000000003</v>
      </c>
      <c r="AP34" s="24">
        <f t="shared" si="31"/>
        <v>1316.58</v>
      </c>
    </row>
    <row r="35" spans="1:43" x14ac:dyDescent="0.3">
      <c r="A35" s="6" t="s">
        <v>22</v>
      </c>
      <c r="B35" s="3"/>
      <c r="C35" s="24"/>
      <c r="D35" s="3"/>
      <c r="E35" s="24"/>
      <c r="F35" s="3"/>
      <c r="G35" s="24"/>
      <c r="H35" s="3">
        <v>0</v>
      </c>
      <c r="I35" s="3"/>
      <c r="J35" s="3">
        <f t="shared" si="30"/>
        <v>0</v>
      </c>
      <c r="K35" s="3">
        <f t="shared" si="30"/>
        <v>0</v>
      </c>
      <c r="Q35" s="24"/>
      <c r="R35" s="24">
        <v>0</v>
      </c>
      <c r="S35" s="24"/>
      <c r="T35" s="24"/>
      <c r="U35" s="24"/>
      <c r="V35" s="24">
        <f>U36-T36</f>
        <v>327.59999999999991</v>
      </c>
      <c r="W35" s="3">
        <v>3873.3333333333335</v>
      </c>
      <c r="X35" s="3"/>
      <c r="Y35" s="3">
        <v>4765.6000000000004</v>
      </c>
      <c r="Z35" s="3"/>
      <c r="AA35" s="3">
        <v>5772.7000000000007</v>
      </c>
      <c r="AB35" s="3"/>
      <c r="AC35" s="3">
        <v>6814.7199999999993</v>
      </c>
      <c r="AD35" s="24"/>
      <c r="AE35" s="3">
        <v>8103.6000000000013</v>
      </c>
      <c r="AF35" s="24"/>
      <c r="AG35" s="3">
        <v>10712.133333333333</v>
      </c>
      <c r="AH35" s="24"/>
      <c r="AI35" s="3">
        <v>13624.6</v>
      </c>
      <c r="AJ35" s="3"/>
      <c r="AK35" s="3">
        <v>15806.030769230771</v>
      </c>
      <c r="AL35" s="3"/>
      <c r="AM35" s="3">
        <v>18390</v>
      </c>
      <c r="AN35" s="3"/>
      <c r="AO35" s="24">
        <f t="shared" si="31"/>
        <v>87862.71743589743</v>
      </c>
      <c r="AP35" s="24">
        <f t="shared" si="31"/>
        <v>327.59999999999991</v>
      </c>
    </row>
    <row r="36" spans="1:43" x14ac:dyDescent="0.3">
      <c r="A36" s="6" t="s">
        <v>25</v>
      </c>
      <c r="B36" s="3">
        <v>200</v>
      </c>
      <c r="C36" s="24">
        <v>484.9</v>
      </c>
      <c r="D36" s="3">
        <v>100</v>
      </c>
      <c r="E36" s="24">
        <v>424.62</v>
      </c>
      <c r="F36" s="3">
        <v>100</v>
      </c>
      <c r="G36" s="24">
        <v>378.23</v>
      </c>
      <c r="H36" s="3">
        <v>100</v>
      </c>
      <c r="I36" s="3"/>
      <c r="J36" s="3">
        <f t="shared" si="30"/>
        <v>500</v>
      </c>
      <c r="K36" s="3">
        <f t="shared" si="30"/>
        <v>1287.75</v>
      </c>
      <c r="Q36" s="24">
        <f>R36</f>
        <v>1295.78</v>
      </c>
      <c r="R36" s="24">
        <v>1295.78</v>
      </c>
      <c r="S36" s="24">
        <f>T36</f>
        <v>1172.4000000000001</v>
      </c>
      <c r="T36" s="24">
        <v>1172.4000000000001</v>
      </c>
      <c r="U36" s="24">
        <v>1500</v>
      </c>
      <c r="V36" s="24"/>
      <c r="W36" s="3">
        <v>1500</v>
      </c>
      <c r="X36" s="24"/>
      <c r="Y36" s="3">
        <v>1500</v>
      </c>
      <c r="Z36" s="24"/>
      <c r="AA36" s="3">
        <v>1500</v>
      </c>
      <c r="AB36" s="24"/>
      <c r="AC36" s="3">
        <v>1500</v>
      </c>
      <c r="AD36" s="24"/>
      <c r="AE36" s="3">
        <v>1500</v>
      </c>
      <c r="AF36" s="24"/>
      <c r="AG36" s="3">
        <v>1500</v>
      </c>
      <c r="AH36" s="24"/>
      <c r="AI36" s="3">
        <v>1500</v>
      </c>
      <c r="AJ36" s="3"/>
      <c r="AK36" s="3">
        <v>1500</v>
      </c>
      <c r="AL36" s="3"/>
      <c r="AM36" s="3">
        <v>1500</v>
      </c>
      <c r="AN36" s="3"/>
      <c r="AO36" s="24">
        <f t="shared" si="31"/>
        <v>17468.18</v>
      </c>
      <c r="AP36" s="24">
        <f t="shared" si="31"/>
        <v>2468.1800000000003</v>
      </c>
    </row>
    <row r="37" spans="1:43" x14ac:dyDescent="0.3">
      <c r="A37" s="6" t="s">
        <v>23</v>
      </c>
      <c r="B37" s="3"/>
      <c r="C37" s="24"/>
      <c r="D37" s="3"/>
      <c r="E37" s="24"/>
      <c r="F37" s="3"/>
      <c r="G37" s="24"/>
      <c r="H37" s="3">
        <v>4500</v>
      </c>
      <c r="I37" s="3"/>
      <c r="J37" s="3">
        <f t="shared" si="30"/>
        <v>4500</v>
      </c>
      <c r="K37" s="3">
        <f t="shared" si="30"/>
        <v>0</v>
      </c>
      <c r="Q37" s="24"/>
      <c r="R37" s="24"/>
      <c r="S37" s="24"/>
      <c r="T37" s="24"/>
      <c r="U37" s="24"/>
      <c r="V37" s="24"/>
      <c r="W37" s="3">
        <v>6500</v>
      </c>
      <c r="X37" s="24"/>
      <c r="Y37" s="3">
        <v>6500</v>
      </c>
      <c r="Z37" s="24"/>
      <c r="AA37" s="3">
        <v>6500</v>
      </c>
      <c r="AB37" s="24"/>
      <c r="AC37" s="3">
        <v>6500</v>
      </c>
      <c r="AD37" s="24"/>
      <c r="AE37" s="3">
        <v>6500</v>
      </c>
      <c r="AF37" s="24"/>
      <c r="AG37" s="3">
        <v>6500</v>
      </c>
      <c r="AH37" s="24"/>
      <c r="AI37" s="3">
        <v>6500</v>
      </c>
      <c r="AJ37" s="3"/>
      <c r="AK37" s="3"/>
      <c r="AL37" s="3"/>
      <c r="AM37" s="3"/>
      <c r="AN37" s="3"/>
      <c r="AO37" s="24">
        <f t="shared" si="31"/>
        <v>45500</v>
      </c>
      <c r="AP37" s="24">
        <f t="shared" si="31"/>
        <v>0</v>
      </c>
    </row>
    <row r="38" spans="1:43" x14ac:dyDescent="0.3">
      <c r="A38" s="6" t="s">
        <v>55</v>
      </c>
      <c r="B38" s="3"/>
      <c r="C38" s="24"/>
      <c r="D38" s="3"/>
      <c r="E38" s="24"/>
      <c r="F38" s="3"/>
      <c r="G38" s="24"/>
      <c r="H38" s="3"/>
      <c r="I38" s="3"/>
      <c r="J38" s="3"/>
      <c r="K38" s="3"/>
      <c r="Q38" s="24">
        <v>50000</v>
      </c>
      <c r="R38" s="24">
        <v>50000</v>
      </c>
      <c r="S38" s="24">
        <v>50000</v>
      </c>
      <c r="T38" s="24">
        <v>50000</v>
      </c>
      <c r="U38" s="24">
        <v>50000</v>
      </c>
      <c r="V38" s="24"/>
      <c r="W38" s="3">
        <v>50000</v>
      </c>
      <c r="X38" s="24"/>
      <c r="Y38" s="3">
        <v>50000</v>
      </c>
      <c r="Z38" s="24"/>
      <c r="AA38" s="3">
        <v>50000</v>
      </c>
      <c r="AB38" s="24"/>
      <c r="AC38" s="3"/>
      <c r="AD38" s="24"/>
      <c r="AE38" s="3"/>
      <c r="AF38" s="24"/>
      <c r="AG38" s="3"/>
      <c r="AH38" s="24"/>
      <c r="AI38" s="3"/>
      <c r="AJ38" s="3"/>
      <c r="AK38" s="3"/>
      <c r="AL38" s="3"/>
      <c r="AM38" s="3"/>
      <c r="AN38" s="3"/>
      <c r="AO38" s="24">
        <f t="shared" si="31"/>
        <v>300000</v>
      </c>
      <c r="AP38" s="24">
        <f t="shared" si="31"/>
        <v>100000</v>
      </c>
    </row>
    <row r="39" spans="1:43" x14ac:dyDescent="0.3">
      <c r="B39" s="3"/>
      <c r="C39" s="24"/>
      <c r="D39" s="3"/>
      <c r="E39" s="24"/>
      <c r="F39" s="3"/>
      <c r="G39" s="24"/>
      <c r="H39" s="3"/>
      <c r="I39" s="3"/>
      <c r="J39" s="3"/>
      <c r="Q39" s="24"/>
      <c r="R39" s="24"/>
      <c r="S39" s="24"/>
      <c r="T39" s="24"/>
      <c r="U39" s="24"/>
      <c r="V39" s="24"/>
      <c r="W39" s="3"/>
      <c r="X39" s="24"/>
      <c r="Y39" s="3"/>
      <c r="Z39" s="24"/>
      <c r="AA39" s="3"/>
      <c r="AB39" s="24"/>
      <c r="AC39" s="3"/>
      <c r="AD39" s="24"/>
      <c r="AE39" s="3"/>
      <c r="AF39" s="24"/>
      <c r="AG39" s="3"/>
      <c r="AH39" s="24"/>
      <c r="AI39" s="3"/>
      <c r="AJ39" s="3"/>
      <c r="AK39" s="3"/>
      <c r="AL39" s="3"/>
      <c r="AM39" s="3"/>
      <c r="AN39" s="3"/>
      <c r="AP39" s="26"/>
    </row>
    <row r="40" spans="1:43" s="4" customFormat="1" x14ac:dyDescent="0.3">
      <c r="A40" s="7" t="s">
        <v>12</v>
      </c>
      <c r="B40" s="5">
        <f t="shared" ref="B40:I40" si="32">SUM(B41:B41)</f>
        <v>2000</v>
      </c>
      <c r="C40" s="25">
        <f t="shared" si="32"/>
        <v>1086.3800000000001</v>
      </c>
      <c r="D40" s="5">
        <f t="shared" si="32"/>
        <v>0</v>
      </c>
      <c r="E40" s="25">
        <f t="shared" si="32"/>
        <v>5595.2</v>
      </c>
      <c r="F40" s="5">
        <f t="shared" si="32"/>
        <v>0</v>
      </c>
      <c r="G40" s="25">
        <f t="shared" si="32"/>
        <v>0</v>
      </c>
      <c r="H40" s="5">
        <f t="shared" si="32"/>
        <v>0</v>
      </c>
      <c r="I40" s="5">
        <f t="shared" si="32"/>
        <v>0</v>
      </c>
      <c r="J40" s="3">
        <f t="shared" ref="J40:K41" si="33">SUM(B40,D40,F40,H40)</f>
        <v>2000</v>
      </c>
      <c r="K40" s="3">
        <f t="shared" si="33"/>
        <v>6681.58</v>
      </c>
      <c r="Q40" s="25">
        <f t="shared" ref="Q40:AN40" si="34">SUM(Q41:Q41)</f>
        <v>0</v>
      </c>
      <c r="R40" s="25">
        <f t="shared" si="34"/>
        <v>0</v>
      </c>
      <c r="S40" s="25">
        <f t="shared" si="34"/>
        <v>0</v>
      </c>
      <c r="T40" s="25">
        <f t="shared" si="34"/>
        <v>0</v>
      </c>
      <c r="U40" s="25">
        <f t="shared" si="34"/>
        <v>0</v>
      </c>
      <c r="V40" s="25">
        <f t="shared" si="34"/>
        <v>0</v>
      </c>
      <c r="W40" s="5">
        <f t="shared" si="34"/>
        <v>0</v>
      </c>
      <c r="X40" s="25">
        <f t="shared" si="34"/>
        <v>0</v>
      </c>
      <c r="Y40" s="5">
        <f t="shared" si="34"/>
        <v>2500</v>
      </c>
      <c r="Z40" s="25">
        <f t="shared" si="34"/>
        <v>0</v>
      </c>
      <c r="AA40" s="5">
        <f t="shared" si="34"/>
        <v>0</v>
      </c>
      <c r="AB40" s="25">
        <f t="shared" si="34"/>
        <v>0</v>
      </c>
      <c r="AC40" s="5">
        <f t="shared" si="34"/>
        <v>2500</v>
      </c>
      <c r="AD40" s="25">
        <f t="shared" si="34"/>
        <v>0</v>
      </c>
      <c r="AE40" s="5">
        <f t="shared" si="34"/>
        <v>0</v>
      </c>
      <c r="AF40" s="25">
        <f t="shared" si="34"/>
        <v>0</v>
      </c>
      <c r="AG40" s="5">
        <f t="shared" si="34"/>
        <v>2500</v>
      </c>
      <c r="AH40" s="25">
        <f t="shared" si="34"/>
        <v>0</v>
      </c>
      <c r="AI40" s="5">
        <f t="shared" si="34"/>
        <v>0</v>
      </c>
      <c r="AJ40" s="5">
        <f t="shared" si="34"/>
        <v>0</v>
      </c>
      <c r="AK40" s="5">
        <f t="shared" si="34"/>
        <v>2500</v>
      </c>
      <c r="AL40" s="5">
        <f t="shared" si="34"/>
        <v>0</v>
      </c>
      <c r="AM40" s="5">
        <f t="shared" si="34"/>
        <v>0</v>
      </c>
      <c r="AN40" s="5">
        <f t="shared" si="34"/>
        <v>0</v>
      </c>
      <c r="AO40" s="25">
        <f>SUM(AM40,AK40,AI40,AG40,AE40,AC40,AA40,Y40,W40,U40,S40,Q40)</f>
        <v>10000</v>
      </c>
      <c r="AP40" s="25">
        <f>SUM(AN40,AL40,AJ40,AH40,AF40,AD40,AB40,Z40,X40,V40,T40,R40)</f>
        <v>0</v>
      </c>
    </row>
    <row r="41" spans="1:43" x14ac:dyDescent="0.3">
      <c r="A41" s="6" t="s">
        <v>26</v>
      </c>
      <c r="B41" s="3">
        <v>2000</v>
      </c>
      <c r="C41" s="24">
        <v>1086.3800000000001</v>
      </c>
      <c r="D41" s="3"/>
      <c r="E41" s="24">
        <v>5595.2</v>
      </c>
      <c r="F41" s="3"/>
      <c r="G41" s="24"/>
      <c r="H41" s="3"/>
      <c r="I41" s="3"/>
      <c r="J41" s="3">
        <f t="shared" si="33"/>
        <v>2000</v>
      </c>
      <c r="K41" s="3">
        <f t="shared" si="33"/>
        <v>6681.58</v>
      </c>
      <c r="Q41" s="24"/>
      <c r="R41" s="24"/>
      <c r="S41" s="24"/>
      <c r="T41" s="24"/>
      <c r="U41" s="24"/>
      <c r="V41" s="24"/>
      <c r="W41" s="3"/>
      <c r="X41" s="24"/>
      <c r="Y41" s="3">
        <v>2500</v>
      </c>
      <c r="Z41" s="24"/>
      <c r="AA41" s="3"/>
      <c r="AB41" s="24"/>
      <c r="AC41" s="3">
        <v>2500</v>
      </c>
      <c r="AD41" s="24"/>
      <c r="AE41" s="3"/>
      <c r="AF41" s="24"/>
      <c r="AG41" s="3">
        <v>2500</v>
      </c>
      <c r="AH41" s="24"/>
      <c r="AI41" s="3"/>
      <c r="AJ41" s="3"/>
      <c r="AK41" s="3">
        <v>2500</v>
      </c>
      <c r="AL41" s="3"/>
      <c r="AM41" s="3"/>
      <c r="AN41" s="3"/>
      <c r="AP41" s="26"/>
    </row>
    <row r="42" spans="1:43" s="49" customFormat="1" x14ac:dyDescent="0.3">
      <c r="A42" s="46"/>
      <c r="B42" s="47"/>
      <c r="C42" s="48"/>
      <c r="D42" s="47"/>
      <c r="E42" s="48"/>
      <c r="F42" s="47"/>
      <c r="G42" s="48"/>
      <c r="H42" s="47"/>
      <c r="I42" s="47"/>
      <c r="J42" s="47"/>
      <c r="Q42" s="48">
        <v>69520</v>
      </c>
      <c r="R42" s="48">
        <v>69520</v>
      </c>
      <c r="S42" s="48">
        <v>69520</v>
      </c>
      <c r="T42" s="48">
        <v>69520</v>
      </c>
      <c r="U42" s="48">
        <v>69520</v>
      </c>
      <c r="V42" s="48"/>
      <c r="W42" s="47">
        <v>69520</v>
      </c>
      <c r="X42" s="48"/>
      <c r="Y42" s="47">
        <v>69520</v>
      </c>
      <c r="Z42" s="48"/>
      <c r="AA42" s="47">
        <v>69520</v>
      </c>
      <c r="AB42" s="48"/>
      <c r="AC42" s="47">
        <v>69520</v>
      </c>
      <c r="AD42" s="48"/>
      <c r="AE42" s="47">
        <v>69520</v>
      </c>
      <c r="AF42" s="48"/>
      <c r="AG42" s="47">
        <v>69520</v>
      </c>
      <c r="AH42" s="48"/>
      <c r="AI42" s="47">
        <v>69520</v>
      </c>
      <c r="AJ42" s="47"/>
      <c r="AK42" s="47">
        <v>139040</v>
      </c>
      <c r="AL42" s="47"/>
      <c r="AM42" s="47">
        <v>69520</v>
      </c>
      <c r="AN42" s="47"/>
      <c r="AO42" s="70">
        <f>SUM(AM42,AK42,AI42,AG42,AE42,AC42,AA42,Y42,W42,U42,S42,Q42)</f>
        <v>903760</v>
      </c>
      <c r="AP42" s="70">
        <f>SUM(AN42,AL42,AJ42,AH42,AF42,AD42,AB42,Z42,X42,V42,T42,R42)</f>
        <v>139040</v>
      </c>
    </row>
    <row r="43" spans="1:43" s="60" customFormat="1" x14ac:dyDescent="0.3">
      <c r="A43" s="8"/>
      <c r="B43" s="57"/>
      <c r="C43" s="64"/>
      <c r="D43" s="57"/>
      <c r="E43" s="64"/>
      <c r="F43" s="57"/>
      <c r="G43" s="64"/>
      <c r="H43" s="57"/>
      <c r="I43" s="57"/>
      <c r="J43" s="57"/>
      <c r="Q43" s="64"/>
      <c r="R43" s="64"/>
      <c r="S43" s="64"/>
      <c r="T43" s="64"/>
      <c r="U43" s="64"/>
      <c r="V43" s="64"/>
      <c r="W43" s="57"/>
      <c r="X43" s="64"/>
      <c r="Y43" s="57"/>
      <c r="Z43" s="64"/>
      <c r="AA43" s="57"/>
      <c r="AB43" s="64"/>
      <c r="AC43" s="57"/>
      <c r="AD43" s="64"/>
      <c r="AE43" s="57"/>
      <c r="AF43" s="64"/>
      <c r="AG43" s="57"/>
      <c r="AH43" s="64"/>
      <c r="AI43" s="57"/>
      <c r="AJ43" s="57"/>
      <c r="AK43" s="57"/>
      <c r="AL43" s="57"/>
      <c r="AM43" s="57"/>
      <c r="AN43" s="57"/>
      <c r="AO43" s="64"/>
    </row>
    <row r="44" spans="1:43" s="60" customFormat="1" x14ac:dyDescent="0.3">
      <c r="A44" s="8"/>
      <c r="B44" s="57"/>
      <c r="C44" s="64"/>
      <c r="D44" s="57"/>
      <c r="E44" s="64"/>
      <c r="F44" s="57"/>
      <c r="G44" s="64"/>
      <c r="H44" s="57"/>
      <c r="I44" s="57"/>
      <c r="J44" s="57"/>
      <c r="Q44" s="64"/>
      <c r="R44" s="64"/>
      <c r="S44" s="64"/>
      <c r="T44" s="64"/>
      <c r="U44" s="64"/>
      <c r="V44" s="64"/>
      <c r="W44" s="57"/>
      <c r="X44" s="64"/>
      <c r="Y44" s="57"/>
      <c r="Z44" s="64"/>
      <c r="AA44" s="57"/>
      <c r="AB44" s="64"/>
      <c r="AC44" s="57"/>
      <c r="AD44" s="64"/>
      <c r="AE44" s="57"/>
      <c r="AF44" s="64"/>
      <c r="AG44" s="57"/>
      <c r="AH44" s="64"/>
      <c r="AI44" s="57"/>
      <c r="AJ44" s="57"/>
      <c r="AK44" s="57"/>
      <c r="AL44" s="57"/>
      <c r="AM44" s="57"/>
      <c r="AN44" s="57"/>
      <c r="AO44" s="56"/>
      <c r="AP44" s="56"/>
      <c r="AQ44" s="65"/>
    </row>
    <row r="45" spans="1:43" s="60" customFormat="1" x14ac:dyDescent="0.3">
      <c r="A45" s="8"/>
      <c r="B45" s="57"/>
      <c r="C45" s="64"/>
      <c r="D45" s="57"/>
      <c r="E45" s="64"/>
      <c r="F45" s="57"/>
      <c r="G45" s="64"/>
      <c r="H45" s="57"/>
      <c r="I45" s="57"/>
      <c r="J45" s="57"/>
      <c r="Q45" s="64"/>
      <c r="R45" s="64"/>
      <c r="S45" s="64"/>
      <c r="T45" s="64"/>
      <c r="U45" s="64"/>
      <c r="V45" s="64"/>
      <c r="W45" s="57"/>
      <c r="X45" s="64"/>
      <c r="Y45" s="57"/>
      <c r="Z45" s="64"/>
      <c r="AA45" s="57"/>
      <c r="AB45" s="64"/>
      <c r="AC45" s="57"/>
      <c r="AD45" s="64"/>
      <c r="AE45" s="57"/>
      <c r="AF45" s="64"/>
      <c r="AG45" s="57"/>
      <c r="AH45" s="64"/>
      <c r="AI45" s="57"/>
      <c r="AJ45" s="57"/>
      <c r="AK45" s="57"/>
      <c r="AL45" s="57"/>
      <c r="AM45" s="57"/>
      <c r="AN45" s="57"/>
      <c r="AO45" s="64"/>
    </row>
    <row r="46" spans="1:43" s="60" customFormat="1" x14ac:dyDescent="0.3">
      <c r="A46" s="8"/>
      <c r="B46" s="57"/>
      <c r="C46" s="64"/>
      <c r="D46" s="57"/>
      <c r="E46" s="64"/>
      <c r="F46" s="57"/>
      <c r="G46" s="64"/>
      <c r="H46" s="57"/>
      <c r="I46" s="57"/>
      <c r="J46" s="57"/>
      <c r="Q46" s="64"/>
      <c r="R46" s="64"/>
      <c r="S46" s="64"/>
      <c r="T46" s="64"/>
      <c r="U46" s="64"/>
      <c r="V46" s="64"/>
      <c r="W46" s="57"/>
      <c r="X46" s="64"/>
      <c r="Y46" s="57"/>
      <c r="Z46" s="64"/>
      <c r="AA46" s="57"/>
      <c r="AB46" s="64"/>
      <c r="AC46" s="57"/>
      <c r="AD46" s="64"/>
      <c r="AE46" s="57"/>
      <c r="AF46" s="64"/>
      <c r="AG46" s="57"/>
      <c r="AH46" s="64"/>
      <c r="AI46" s="57"/>
      <c r="AJ46" s="57"/>
      <c r="AK46" s="57"/>
      <c r="AL46" s="57"/>
      <c r="AM46" s="57"/>
      <c r="AN46" s="57"/>
      <c r="AO46" s="64"/>
    </row>
    <row r="47" spans="1:43" s="49" customFormat="1" x14ac:dyDescent="0.3">
      <c r="A47" s="46"/>
      <c r="B47" s="47"/>
      <c r="C47" s="48"/>
      <c r="D47" s="47"/>
      <c r="E47" s="48"/>
      <c r="F47" s="47"/>
      <c r="G47" s="48"/>
      <c r="H47" s="47"/>
      <c r="I47" s="47"/>
      <c r="J47" s="47"/>
      <c r="Q47" s="48"/>
      <c r="R47" s="48"/>
      <c r="S47" s="48"/>
      <c r="T47" s="48"/>
      <c r="U47" s="48"/>
      <c r="V47" s="48"/>
      <c r="W47" s="47"/>
      <c r="X47" s="48"/>
      <c r="Y47" s="47"/>
      <c r="Z47" s="48"/>
      <c r="AA47" s="47"/>
      <c r="AB47" s="48"/>
      <c r="AC47" s="47"/>
      <c r="AD47" s="48"/>
      <c r="AE47" s="47"/>
      <c r="AF47" s="48"/>
      <c r="AG47" s="47"/>
      <c r="AH47" s="48"/>
      <c r="AI47" s="47"/>
      <c r="AJ47" s="47"/>
      <c r="AK47" s="47"/>
      <c r="AL47" s="47"/>
      <c r="AM47" s="47"/>
      <c r="AN47" s="47"/>
      <c r="AO47" s="50"/>
    </row>
    <row r="48" spans="1:43" s="49" customFormat="1" x14ac:dyDescent="0.3">
      <c r="A48" s="46"/>
      <c r="B48" s="47"/>
      <c r="C48" s="48"/>
      <c r="D48" s="47"/>
      <c r="E48" s="48"/>
      <c r="F48" s="47"/>
      <c r="G48" s="48"/>
      <c r="H48" s="47"/>
      <c r="I48" s="47"/>
      <c r="J48" s="47"/>
      <c r="Q48" s="48">
        <f>Q3+Q42</f>
        <v>202669</v>
      </c>
      <c r="R48" s="48">
        <f>R3+R42</f>
        <v>228126.25</v>
      </c>
      <c r="S48" s="48"/>
      <c r="T48" s="48"/>
      <c r="U48" s="48"/>
      <c r="V48" s="47"/>
      <c r="W48" s="47"/>
      <c r="X48" s="47"/>
      <c r="Y48" s="47"/>
      <c r="Z48" s="47"/>
      <c r="AA48" s="47">
        <f t="shared" ref="AA48:AN48" si="35">AA3+AA42</f>
        <v>546434.69999999995</v>
      </c>
      <c r="AB48" s="47">
        <f t="shared" si="35"/>
        <v>0</v>
      </c>
      <c r="AC48" s="47">
        <f t="shared" si="35"/>
        <v>1251616.72</v>
      </c>
      <c r="AD48" s="47">
        <f t="shared" si="35"/>
        <v>0</v>
      </c>
      <c r="AE48" s="47">
        <f t="shared" si="35"/>
        <v>1253864.6000000001</v>
      </c>
      <c r="AF48" s="47">
        <f t="shared" si="35"/>
        <v>0</v>
      </c>
      <c r="AG48" s="47">
        <f t="shared" si="35"/>
        <v>1254293.1333333333</v>
      </c>
      <c r="AH48" s="47">
        <f t="shared" si="35"/>
        <v>0</v>
      </c>
      <c r="AI48" s="47">
        <f t="shared" si="35"/>
        <v>2457866.6</v>
      </c>
      <c r="AJ48" s="47">
        <f t="shared" si="35"/>
        <v>0</v>
      </c>
      <c r="AK48" s="47">
        <f t="shared" si="35"/>
        <v>2596107.0307692308</v>
      </c>
      <c r="AL48" s="47">
        <f t="shared" si="35"/>
        <v>0</v>
      </c>
      <c r="AM48" s="47">
        <f t="shared" si="35"/>
        <v>2457776</v>
      </c>
      <c r="AN48" s="47">
        <f t="shared" si="35"/>
        <v>0</v>
      </c>
      <c r="AO48" s="48">
        <f t="shared" ref="AO48" si="36">SUM(AM48,AK48,AI48,AG48,AE48,AC48,AA48,Y48,W48,U48,S48,Q48)</f>
        <v>12020627.784102563</v>
      </c>
      <c r="AP48" s="47">
        <f>AP3+AP42</f>
        <v>420262.15</v>
      </c>
    </row>
    <row r="49" spans="1:41" s="49" customFormat="1" x14ac:dyDescent="0.3">
      <c r="A49" s="46"/>
      <c r="B49" s="47"/>
      <c r="C49" s="48"/>
      <c r="D49" s="47"/>
      <c r="E49" s="48"/>
      <c r="F49" s="47"/>
      <c r="G49" s="48"/>
      <c r="H49" s="47"/>
      <c r="I49" s="47"/>
      <c r="J49" s="47"/>
      <c r="Q49" s="48"/>
      <c r="R49" s="48"/>
      <c r="S49" s="48"/>
      <c r="T49" s="50"/>
      <c r="U49" s="83"/>
      <c r="V49" s="83"/>
      <c r="W49" s="47"/>
      <c r="X49" s="48"/>
      <c r="Y49" s="47"/>
      <c r="Z49" s="48"/>
      <c r="AA49" s="47"/>
      <c r="AB49" s="48"/>
      <c r="AC49" s="47"/>
      <c r="AD49" s="48"/>
      <c r="AE49" s="47"/>
      <c r="AF49" s="48"/>
      <c r="AG49" s="47"/>
      <c r="AH49" s="48"/>
      <c r="AI49" s="47"/>
      <c r="AJ49" s="47"/>
      <c r="AK49" s="47"/>
      <c r="AL49" s="47"/>
      <c r="AM49" s="47"/>
      <c r="AN49" s="47"/>
      <c r="AO49" s="48">
        <f>AP1-AO48</f>
        <v>604449.21589743719</v>
      </c>
    </row>
    <row r="50" spans="1:41" s="49" customFormat="1" x14ac:dyDescent="0.3">
      <c r="A50" s="46"/>
      <c r="B50" s="47"/>
      <c r="C50" s="48"/>
      <c r="D50" s="47"/>
      <c r="E50" s="48"/>
      <c r="F50" s="47"/>
      <c r="G50" s="48"/>
      <c r="H50" s="47"/>
      <c r="I50" s="47"/>
      <c r="J50" s="47"/>
      <c r="Q50" s="48"/>
      <c r="R50" s="48"/>
      <c r="S50" s="66"/>
      <c r="T50" s="50"/>
      <c r="U50" s="56"/>
      <c r="V50" s="56"/>
      <c r="W50" s="47"/>
      <c r="X50" s="48"/>
      <c r="Y50" s="47"/>
      <c r="Z50" s="48"/>
      <c r="AA50" s="47"/>
      <c r="AB50" s="48"/>
      <c r="AC50" s="47"/>
      <c r="AD50" s="48"/>
      <c r="AE50" s="47"/>
      <c r="AF50" s="48"/>
      <c r="AG50" s="47"/>
      <c r="AH50" s="48"/>
      <c r="AI50" s="47"/>
      <c r="AJ50" s="47"/>
      <c r="AK50" s="47"/>
      <c r="AL50" s="47"/>
      <c r="AM50" s="47"/>
      <c r="AN50" s="47"/>
      <c r="AO50" s="50"/>
    </row>
    <row r="51" spans="1:41" s="49" customFormat="1" x14ac:dyDescent="0.3">
      <c r="A51" s="46"/>
      <c r="B51" s="47"/>
      <c r="C51" s="48"/>
      <c r="D51" s="47"/>
      <c r="E51" s="48"/>
      <c r="F51" s="47"/>
      <c r="G51" s="48"/>
      <c r="H51" s="47"/>
      <c r="I51" s="47"/>
      <c r="J51" s="47"/>
      <c r="Q51" s="48"/>
      <c r="R51" s="48"/>
      <c r="S51" s="50"/>
      <c r="T51" s="50"/>
      <c r="U51" s="50"/>
      <c r="W51" s="58"/>
      <c r="X51" s="48"/>
      <c r="Y51" s="47"/>
      <c r="Z51" s="48"/>
      <c r="AA51" s="47"/>
      <c r="AB51" s="48"/>
      <c r="AC51" s="47"/>
      <c r="AD51" s="48"/>
      <c r="AE51" s="47"/>
      <c r="AF51" s="48"/>
      <c r="AG51" s="47"/>
      <c r="AH51" s="48"/>
      <c r="AI51" s="47"/>
      <c r="AJ51" s="47"/>
      <c r="AK51" s="47"/>
      <c r="AL51" s="47"/>
      <c r="AM51" s="47"/>
      <c r="AN51" s="47"/>
      <c r="AO51" s="50"/>
    </row>
    <row r="52" spans="1:41" s="49" customFormat="1" x14ac:dyDescent="0.3">
      <c r="A52" s="46"/>
      <c r="B52" s="47"/>
      <c r="C52" s="48"/>
      <c r="D52" s="47"/>
      <c r="E52" s="48"/>
      <c r="F52" s="47"/>
      <c r="G52" s="48"/>
      <c r="H52" s="47"/>
      <c r="I52" s="47"/>
      <c r="J52" s="47"/>
      <c r="Q52" s="48"/>
      <c r="R52" s="48"/>
      <c r="S52" s="50"/>
      <c r="T52" s="67"/>
      <c r="U52" s="56"/>
      <c r="V52" s="56"/>
      <c r="W52" s="58"/>
      <c r="X52" s="48"/>
      <c r="Y52" s="47"/>
      <c r="Z52" s="48"/>
      <c r="AA52" s="47"/>
      <c r="AB52" s="48"/>
      <c r="AC52" s="47"/>
      <c r="AD52" s="48"/>
      <c r="AE52" s="47"/>
      <c r="AF52" s="48"/>
      <c r="AG52" s="47"/>
      <c r="AH52" s="48"/>
      <c r="AI52" s="47"/>
      <c r="AJ52" s="47"/>
      <c r="AK52" s="47"/>
      <c r="AL52" s="47"/>
      <c r="AM52" s="47"/>
      <c r="AN52" s="47"/>
      <c r="AO52" s="50"/>
    </row>
    <row r="53" spans="1:41" s="49" customFormat="1" x14ac:dyDescent="0.3">
      <c r="A53" s="46"/>
      <c r="B53" s="47"/>
      <c r="C53" s="48"/>
      <c r="D53" s="47"/>
      <c r="E53" s="48"/>
      <c r="F53" s="47"/>
      <c r="G53" s="48"/>
      <c r="H53" s="47"/>
      <c r="I53" s="47"/>
      <c r="J53" s="47"/>
      <c r="Q53" s="48"/>
      <c r="R53" s="48"/>
      <c r="S53" s="50"/>
      <c r="T53" s="68"/>
      <c r="U53" s="24"/>
      <c r="V53" s="24"/>
      <c r="W53" s="58"/>
      <c r="X53" s="48"/>
      <c r="Y53" s="47"/>
      <c r="Z53" s="48"/>
      <c r="AA53" s="47"/>
      <c r="AB53" s="48"/>
      <c r="AC53" s="47"/>
      <c r="AD53" s="48"/>
      <c r="AE53" s="47"/>
      <c r="AF53" s="48"/>
      <c r="AG53" s="47"/>
      <c r="AH53" s="48"/>
      <c r="AI53" s="47"/>
      <c r="AJ53" s="47"/>
      <c r="AK53" s="47"/>
      <c r="AL53" s="47"/>
      <c r="AM53" s="47"/>
      <c r="AN53" s="47"/>
      <c r="AO53" s="50"/>
    </row>
    <row r="54" spans="1:41" s="49" customFormat="1" x14ac:dyDescent="0.3">
      <c r="A54" s="46"/>
      <c r="B54" s="47"/>
      <c r="C54" s="48"/>
      <c r="D54" s="47"/>
      <c r="E54" s="48"/>
      <c r="F54" s="47"/>
      <c r="G54" s="48"/>
      <c r="H54" s="47"/>
      <c r="I54" s="47"/>
      <c r="J54" s="47"/>
      <c r="Q54" s="48"/>
      <c r="R54" s="48"/>
      <c r="S54" s="50"/>
      <c r="T54" s="68"/>
      <c r="U54" s="77"/>
      <c r="V54" s="3"/>
      <c r="W54" s="58"/>
      <c r="X54" s="48"/>
      <c r="Y54" s="47"/>
      <c r="Z54" s="48"/>
      <c r="AA54" s="47"/>
      <c r="AB54" s="48"/>
      <c r="AC54" s="47"/>
      <c r="AD54" s="48"/>
      <c r="AE54" s="47"/>
      <c r="AF54" s="48"/>
      <c r="AG54" s="47"/>
      <c r="AH54" s="48"/>
      <c r="AI54" s="47"/>
      <c r="AJ54" s="47"/>
      <c r="AK54" s="47"/>
      <c r="AL54" s="47"/>
      <c r="AM54" s="47"/>
      <c r="AN54" s="47"/>
      <c r="AO54" s="50"/>
    </row>
    <row r="55" spans="1:41" s="49" customFormat="1" x14ac:dyDescent="0.3">
      <c r="A55" s="46"/>
      <c r="B55" s="47"/>
      <c r="C55" s="48"/>
      <c r="D55" s="47"/>
      <c r="E55" s="48"/>
      <c r="F55" s="47"/>
      <c r="G55" s="48"/>
      <c r="H55" s="47"/>
      <c r="I55" s="47"/>
      <c r="J55" s="47"/>
      <c r="Q55" s="48"/>
      <c r="R55" s="48"/>
      <c r="S55" s="50"/>
      <c r="T55" s="68"/>
      <c r="U55" s="64"/>
      <c r="V55" s="3"/>
      <c r="W55" s="58"/>
      <c r="X55" s="48"/>
      <c r="Y55" s="47"/>
      <c r="Z55" s="48"/>
      <c r="AA55" s="47"/>
      <c r="AB55" s="48"/>
      <c r="AC55" s="47"/>
      <c r="AD55" s="48"/>
      <c r="AE55" s="47"/>
      <c r="AF55" s="48"/>
      <c r="AG55" s="47"/>
      <c r="AH55" s="48"/>
      <c r="AI55" s="47"/>
      <c r="AJ55" s="47"/>
      <c r="AK55" s="47"/>
      <c r="AL55" s="47"/>
      <c r="AM55" s="47"/>
      <c r="AN55" s="47"/>
      <c r="AO55" s="50"/>
    </row>
    <row r="56" spans="1:41" s="49" customFormat="1" x14ac:dyDescent="0.3">
      <c r="A56" s="46"/>
      <c r="B56" s="47"/>
      <c r="C56" s="48"/>
      <c r="D56" s="47"/>
      <c r="E56" s="48"/>
      <c r="F56" s="47"/>
      <c r="G56" s="48"/>
      <c r="H56" s="47"/>
      <c r="I56" s="47"/>
      <c r="J56" s="47"/>
      <c r="Q56" s="48"/>
      <c r="R56" s="48"/>
      <c r="S56" s="50"/>
      <c r="T56" s="68"/>
      <c r="U56" s="77"/>
      <c r="V56" s="3"/>
      <c r="W56" s="58"/>
      <c r="X56" s="48"/>
      <c r="Y56" s="47"/>
      <c r="Z56" s="48"/>
      <c r="AA56" s="47"/>
      <c r="AB56" s="48"/>
      <c r="AC56" s="47"/>
      <c r="AD56" s="48"/>
      <c r="AE56" s="47"/>
      <c r="AF56" s="48"/>
      <c r="AG56" s="47"/>
      <c r="AH56" s="48"/>
      <c r="AI56" s="47"/>
      <c r="AJ56" s="47"/>
      <c r="AK56" s="47"/>
      <c r="AL56" s="47"/>
      <c r="AM56" s="47"/>
      <c r="AN56" s="47"/>
      <c r="AO56" s="50"/>
    </row>
    <row r="57" spans="1:41" s="49" customFormat="1" x14ac:dyDescent="0.3">
      <c r="A57" s="46"/>
      <c r="B57" s="47"/>
      <c r="C57" s="48"/>
      <c r="D57" s="47"/>
      <c r="E57" s="48"/>
      <c r="F57" s="47"/>
      <c r="G57" s="48"/>
      <c r="H57" s="47"/>
      <c r="I57" s="47"/>
      <c r="J57" s="47"/>
      <c r="Q57" s="48"/>
      <c r="R57" s="48"/>
      <c r="S57" s="50"/>
      <c r="T57" s="68"/>
      <c r="U57" s="77"/>
      <c r="V57" s="3"/>
      <c r="W57" s="58"/>
      <c r="X57" s="48"/>
      <c r="Y57" s="47"/>
      <c r="Z57" s="48"/>
      <c r="AA57" s="47"/>
      <c r="AB57" s="48"/>
      <c r="AC57" s="47"/>
      <c r="AD57" s="48"/>
      <c r="AE57" s="47"/>
      <c r="AF57" s="48"/>
      <c r="AG57" s="47"/>
      <c r="AH57" s="48"/>
      <c r="AI57" s="47"/>
      <c r="AJ57" s="47"/>
      <c r="AK57" s="47"/>
      <c r="AL57" s="47"/>
      <c r="AM57" s="47"/>
      <c r="AN57" s="47"/>
      <c r="AO57" s="50"/>
    </row>
    <row r="58" spans="1:41" s="49" customFormat="1" x14ac:dyDescent="0.3">
      <c r="A58" s="46"/>
      <c r="B58" s="47"/>
      <c r="C58" s="48"/>
      <c r="D58" s="47"/>
      <c r="E58" s="48"/>
      <c r="F58" s="47"/>
      <c r="G58" s="48"/>
      <c r="H58" s="47"/>
      <c r="I58" s="47"/>
      <c r="J58" s="47"/>
      <c r="Q58" s="48"/>
      <c r="R58" s="48"/>
      <c r="S58" s="50"/>
      <c r="T58" s="68"/>
      <c r="U58" s="64"/>
      <c r="V58" s="3"/>
      <c r="W58" s="58"/>
      <c r="X58" s="48"/>
      <c r="Y58" s="47"/>
      <c r="Z58" s="48"/>
      <c r="AA58" s="47"/>
      <c r="AB58" s="48"/>
      <c r="AC58" s="47"/>
      <c r="AD58" s="48"/>
      <c r="AE58" s="47"/>
      <c r="AF58" s="48"/>
      <c r="AG58" s="47"/>
      <c r="AH58" s="48"/>
      <c r="AI58" s="47"/>
      <c r="AJ58" s="47"/>
      <c r="AK58" s="47"/>
      <c r="AL58" s="47"/>
      <c r="AM58" s="47"/>
      <c r="AN58" s="47"/>
      <c r="AO58" s="50"/>
    </row>
    <row r="59" spans="1:41" s="49" customFormat="1" x14ac:dyDescent="0.3">
      <c r="A59" s="46"/>
      <c r="B59" s="47"/>
      <c r="C59" s="48"/>
      <c r="D59" s="47"/>
      <c r="E59" s="48"/>
      <c r="F59" s="47"/>
      <c r="G59" s="48"/>
      <c r="H59" s="47"/>
      <c r="I59" s="47"/>
      <c r="J59" s="47"/>
      <c r="Q59" s="48"/>
      <c r="R59" s="48"/>
      <c r="S59" s="50"/>
      <c r="T59" s="68"/>
      <c r="U59" s="64"/>
      <c r="V59" s="3"/>
      <c r="W59" s="58"/>
      <c r="X59" s="48"/>
      <c r="Y59" s="47"/>
      <c r="Z59" s="48"/>
      <c r="AA59" s="47"/>
      <c r="AB59" s="48"/>
      <c r="AC59" s="47"/>
      <c r="AD59" s="48"/>
      <c r="AE59" s="47"/>
      <c r="AF59" s="48"/>
      <c r="AG59" s="47"/>
      <c r="AH59" s="48"/>
      <c r="AI59" s="47"/>
      <c r="AJ59" s="47"/>
      <c r="AK59" s="47"/>
      <c r="AL59" s="47"/>
      <c r="AM59" s="47"/>
      <c r="AN59" s="47"/>
      <c r="AO59" s="50"/>
    </row>
    <row r="60" spans="1:41" s="49" customFormat="1" x14ac:dyDescent="0.3">
      <c r="A60" s="46"/>
      <c r="B60" s="47"/>
      <c r="C60" s="48"/>
      <c r="D60" s="47"/>
      <c r="E60" s="48"/>
      <c r="F60" s="47"/>
      <c r="G60" s="48"/>
      <c r="H60" s="47"/>
      <c r="I60" s="47"/>
      <c r="J60" s="47"/>
      <c r="Q60" s="48"/>
      <c r="R60" s="48"/>
      <c r="S60" s="50"/>
      <c r="T60" s="68"/>
      <c r="U60" s="64"/>
      <c r="V60" s="3"/>
      <c r="W60" s="58"/>
      <c r="X60" s="48"/>
      <c r="Y60" s="47"/>
      <c r="Z60" s="48"/>
      <c r="AA60" s="47"/>
      <c r="AB60" s="48"/>
      <c r="AC60" s="47"/>
      <c r="AD60" s="48"/>
      <c r="AE60" s="47"/>
      <c r="AF60" s="48"/>
      <c r="AG60" s="47"/>
      <c r="AH60" s="48"/>
      <c r="AI60" s="47"/>
      <c r="AJ60" s="47"/>
      <c r="AK60" s="47"/>
      <c r="AL60" s="47"/>
      <c r="AM60" s="47"/>
      <c r="AN60" s="47"/>
      <c r="AO60" s="50"/>
    </row>
    <row r="61" spans="1:41" x14ac:dyDescent="0.3">
      <c r="V61" s="3"/>
      <c r="W61" s="8"/>
    </row>
    <row r="62" spans="1:41" x14ac:dyDescent="0.3">
      <c r="V62" s="3"/>
      <c r="W62" s="60"/>
    </row>
    <row r="63" spans="1:41" x14ac:dyDescent="0.3">
      <c r="W63" s="60"/>
    </row>
    <row r="64" spans="1:41" x14ac:dyDescent="0.3">
      <c r="W64" s="60"/>
    </row>
    <row r="65" spans="23:23" x14ac:dyDescent="0.3">
      <c r="W65" s="60"/>
    </row>
  </sheetData>
  <mergeCells count="18">
    <mergeCell ref="AA1:AB1"/>
    <mergeCell ref="AC1:AD1"/>
    <mergeCell ref="B1:C1"/>
    <mergeCell ref="D1:E1"/>
    <mergeCell ref="F1:G1"/>
    <mergeCell ref="H1:I1"/>
    <mergeCell ref="J1:K1"/>
    <mergeCell ref="Q1:R1"/>
    <mergeCell ref="U49:V49"/>
    <mergeCell ref="S1:T1"/>
    <mergeCell ref="U1:V1"/>
    <mergeCell ref="W1:X1"/>
    <mergeCell ref="Y1:Z1"/>
    <mergeCell ref="AE1:AF1"/>
    <mergeCell ref="AG1:AH1"/>
    <mergeCell ref="AI1:AJ1"/>
    <mergeCell ref="AK1:AL1"/>
    <mergeCell ref="AM1:AN1"/>
  </mergeCells>
  <conditionalFormatting sqref="J3">
    <cfRule type="top10" dxfId="1" priority="1" rank="1000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5"/>
  <sheetViews>
    <sheetView showGridLines="0" workbookViewId="0">
      <pane xSplit="1" ySplit="2" topLeftCell="R3" activePane="bottomRight" state="frozen"/>
      <selection pane="topRight"/>
      <selection pane="bottomLeft"/>
      <selection pane="bottomRight" activeCell="W3" sqref="W3"/>
    </sheetView>
  </sheetViews>
  <sheetFormatPr defaultColWidth="9.109375" defaultRowHeight="13.8" x14ac:dyDescent="0.3"/>
  <cols>
    <col min="1" max="1" width="38.88671875" style="6" customWidth="1"/>
    <col min="2" max="2" width="14.88671875" style="1" customWidth="1"/>
    <col min="3" max="3" width="11.88671875" style="26" bestFit="1" customWidth="1"/>
    <col min="4" max="4" width="11.88671875" style="1" bestFit="1" customWidth="1"/>
    <col min="5" max="5" width="11.88671875" style="26" customWidth="1"/>
    <col min="6" max="6" width="11.88671875" style="1" bestFit="1" customWidth="1"/>
    <col min="7" max="7" width="11.88671875" style="26" customWidth="1"/>
    <col min="8" max="8" width="11.88671875" style="1" bestFit="1" customWidth="1"/>
    <col min="9" max="9" width="11.88671875" style="1" customWidth="1"/>
    <col min="10" max="10" width="12.109375" style="1" bestFit="1" customWidth="1"/>
    <col min="11" max="11" width="9.5546875" style="1" bestFit="1" customWidth="1"/>
    <col min="12" max="12" width="2.88671875" style="1" customWidth="1"/>
    <col min="13" max="13" width="12.88671875" style="1" bestFit="1" customWidth="1"/>
    <col min="14" max="14" width="9.6640625" style="1" customWidth="1"/>
    <col min="15" max="15" width="9.109375" style="1"/>
    <col min="16" max="16" width="16.33203125" style="1" bestFit="1" customWidth="1"/>
    <col min="17" max="17" width="10.33203125" style="26" bestFit="1" customWidth="1"/>
    <col min="18" max="18" width="10.44140625" style="26" bestFit="1" customWidth="1"/>
    <col min="19" max="19" width="19" style="26" customWidth="1"/>
    <col min="20" max="20" width="13.33203125" style="26" customWidth="1"/>
    <col min="21" max="21" width="12.44140625" style="1" bestFit="1" customWidth="1"/>
    <col min="22" max="22" width="12" style="1" bestFit="1" customWidth="1"/>
    <col min="23" max="23" width="11.33203125" style="1" bestFit="1" customWidth="1"/>
    <col min="24" max="24" width="9.109375" style="1"/>
    <col min="25" max="25" width="11.33203125" style="1" bestFit="1" customWidth="1"/>
    <col min="26" max="26" width="9.109375" style="1"/>
    <col min="27" max="27" width="12.6640625" style="1" bestFit="1" customWidth="1"/>
    <col min="28" max="28" width="9.109375" style="1"/>
    <col min="29" max="29" width="12.6640625" style="1" bestFit="1" customWidth="1"/>
    <col min="30" max="30" width="9.109375" style="1"/>
    <col min="31" max="31" width="13.44140625" style="1" bestFit="1" customWidth="1"/>
    <col min="32" max="32" width="9.109375" style="1"/>
    <col min="33" max="33" width="12.6640625" style="1" bestFit="1" customWidth="1"/>
    <col min="34" max="34" width="9.6640625" style="1" customWidth="1"/>
    <col min="35" max="35" width="12.6640625" style="1" bestFit="1" customWidth="1"/>
    <col min="36" max="36" width="9.6640625" style="1" customWidth="1"/>
    <col min="37" max="37" width="12.6640625" style="1" bestFit="1" customWidth="1"/>
    <col min="38" max="38" width="9.6640625" style="1" customWidth="1"/>
    <col min="39" max="39" width="12.6640625" style="1" bestFit="1" customWidth="1"/>
    <col min="40" max="40" width="9.109375" style="1"/>
    <col min="41" max="41" width="13.88671875" style="26" bestFit="1" customWidth="1"/>
    <col min="42" max="42" width="12.88671875" style="1" bestFit="1" customWidth="1"/>
    <col min="43" max="43" width="10.5546875" style="1" bestFit="1" customWidth="1"/>
    <col min="44" max="44" width="12.88671875" style="1" bestFit="1" customWidth="1"/>
    <col min="45" max="16384" width="9.109375" style="1"/>
  </cols>
  <sheetData>
    <row r="1" spans="1:44" s="4" customFormat="1" ht="15" customHeight="1" x14ac:dyDescent="0.3">
      <c r="A1" s="7"/>
      <c r="B1" s="81">
        <v>45925</v>
      </c>
      <c r="C1" s="81"/>
      <c r="D1" s="82">
        <v>45955</v>
      </c>
      <c r="E1" s="82"/>
      <c r="F1" s="81">
        <v>45986</v>
      </c>
      <c r="G1" s="81"/>
      <c r="H1" s="81">
        <v>46016</v>
      </c>
      <c r="I1" s="81"/>
      <c r="J1" s="85">
        <v>2025</v>
      </c>
      <c r="K1" s="85"/>
      <c r="L1" s="9"/>
      <c r="M1" s="4" t="s">
        <v>48</v>
      </c>
      <c r="N1" s="4" t="s">
        <v>49</v>
      </c>
      <c r="O1" s="29">
        <v>5.3</v>
      </c>
      <c r="P1" s="31"/>
      <c r="Q1" s="84">
        <v>46048</v>
      </c>
      <c r="R1" s="84"/>
      <c r="S1" s="84">
        <v>46079</v>
      </c>
      <c r="T1" s="84"/>
      <c r="U1" s="81">
        <v>46107</v>
      </c>
      <c r="V1" s="81"/>
      <c r="W1" s="81">
        <v>46138</v>
      </c>
      <c r="X1" s="81"/>
      <c r="Y1" s="81">
        <v>46168</v>
      </c>
      <c r="Z1" s="81"/>
      <c r="AA1" s="81">
        <v>46199</v>
      </c>
      <c r="AB1" s="81"/>
      <c r="AC1" s="81">
        <v>46229</v>
      </c>
      <c r="AD1" s="81"/>
      <c r="AE1" s="81">
        <v>46260</v>
      </c>
      <c r="AF1" s="81"/>
      <c r="AG1" s="81">
        <v>46291</v>
      </c>
      <c r="AH1" s="81"/>
      <c r="AI1" s="82">
        <v>46321</v>
      </c>
      <c r="AJ1" s="82"/>
      <c r="AK1" s="81">
        <v>45987</v>
      </c>
      <c r="AL1" s="81"/>
      <c r="AM1" s="81">
        <v>46017</v>
      </c>
      <c r="AN1" s="81"/>
      <c r="AO1" s="42">
        <v>2026</v>
      </c>
      <c r="AP1" s="5">
        <v>12625077</v>
      </c>
      <c r="AQ1" s="5">
        <f>AP1-AO3</f>
        <v>13903.282564103603</v>
      </c>
    </row>
    <row r="2" spans="1:44" ht="15" customHeight="1" x14ac:dyDescent="0.3">
      <c r="B2" s="2" t="s">
        <v>39</v>
      </c>
      <c r="C2" s="23" t="s">
        <v>40</v>
      </c>
      <c r="D2" s="2" t="s">
        <v>39</v>
      </c>
      <c r="E2" s="23" t="s">
        <v>40</v>
      </c>
      <c r="F2" s="2" t="s">
        <v>39</v>
      </c>
      <c r="G2" s="23" t="s">
        <v>40</v>
      </c>
      <c r="H2" s="2" t="s">
        <v>39</v>
      </c>
      <c r="I2" s="2" t="s">
        <v>40</v>
      </c>
      <c r="J2" s="2" t="s">
        <v>39</v>
      </c>
      <c r="K2" s="2" t="s">
        <v>40</v>
      </c>
      <c r="L2" s="2"/>
      <c r="Q2" s="23" t="s">
        <v>39</v>
      </c>
      <c r="R2" s="23" t="s">
        <v>40</v>
      </c>
      <c r="S2" s="23" t="s">
        <v>39</v>
      </c>
      <c r="T2" s="23" t="s">
        <v>40</v>
      </c>
      <c r="U2" s="2" t="s">
        <v>39</v>
      </c>
      <c r="V2" s="23" t="s">
        <v>40</v>
      </c>
      <c r="W2" s="2" t="s">
        <v>39</v>
      </c>
      <c r="X2" s="23" t="s">
        <v>40</v>
      </c>
      <c r="Y2" s="2" t="s">
        <v>39</v>
      </c>
      <c r="Z2" s="23" t="s">
        <v>40</v>
      </c>
      <c r="AA2" s="2" t="s">
        <v>39</v>
      </c>
      <c r="AB2" s="23" t="s">
        <v>40</v>
      </c>
      <c r="AC2" s="2" t="s">
        <v>39</v>
      </c>
      <c r="AD2" s="23" t="s">
        <v>40</v>
      </c>
      <c r="AE2" s="2" t="s">
        <v>39</v>
      </c>
      <c r="AF2" s="23" t="s">
        <v>40</v>
      </c>
      <c r="AG2" s="2" t="s">
        <v>39</v>
      </c>
      <c r="AH2" s="23" t="s">
        <v>40</v>
      </c>
      <c r="AI2" s="2" t="s">
        <v>39</v>
      </c>
      <c r="AJ2" s="2" t="s">
        <v>40</v>
      </c>
      <c r="AK2" s="2" t="s">
        <v>39</v>
      </c>
      <c r="AL2" s="2" t="s">
        <v>40</v>
      </c>
      <c r="AM2" s="2" t="s">
        <v>39</v>
      </c>
      <c r="AN2" s="2" t="s">
        <v>40</v>
      </c>
      <c r="AO2" s="23" t="s">
        <v>39</v>
      </c>
      <c r="AP2" s="2" t="s">
        <v>40</v>
      </c>
    </row>
    <row r="3" spans="1:44" ht="16.5" customHeight="1" x14ac:dyDescent="0.3">
      <c r="B3" s="3">
        <f t="shared" ref="B3:I3" si="0">SUM(B5,B12,B17,B21,B31,B40,B26)</f>
        <v>19150</v>
      </c>
      <c r="C3" s="24">
        <f t="shared" si="0"/>
        <v>15798.169999999998</v>
      </c>
      <c r="D3" s="3">
        <f t="shared" si="0"/>
        <v>6079</v>
      </c>
      <c r="E3" s="24">
        <f t="shared" si="0"/>
        <v>44040.460000000006</v>
      </c>
      <c r="F3" s="3">
        <f t="shared" si="0"/>
        <v>60030.5</v>
      </c>
      <c r="G3" s="24">
        <f t="shared" si="0"/>
        <v>17565.05</v>
      </c>
      <c r="H3" s="3">
        <f t="shared" si="0"/>
        <v>153275.5</v>
      </c>
      <c r="I3" s="3">
        <f t="shared" si="0"/>
        <v>12785.66</v>
      </c>
      <c r="J3" s="3">
        <f>SUM(B3,D3,F3,H3)</f>
        <v>238535</v>
      </c>
      <c r="K3" s="3">
        <f>SUM(C3,E3,G3,I3)</f>
        <v>90189.340000000011</v>
      </c>
      <c r="M3" s="3">
        <v>322800</v>
      </c>
      <c r="N3" s="3">
        <f>M3-J3</f>
        <v>84265</v>
      </c>
      <c r="Q3" s="24">
        <f t="shared" ref="Q3:AP3" si="1">SUM(Q5,Q12,Q17,Q21,Q31,Q40,Q26,Q42)</f>
        <v>149520</v>
      </c>
      <c r="R3" s="24">
        <f t="shared" si="1"/>
        <v>158606.25</v>
      </c>
      <c r="S3" s="24">
        <f t="shared" si="1"/>
        <v>121777</v>
      </c>
      <c r="T3" s="24">
        <f t="shared" si="1"/>
        <v>122288.3</v>
      </c>
      <c r="U3" s="3">
        <f t="shared" si="1"/>
        <v>321007</v>
      </c>
      <c r="V3" s="3">
        <f t="shared" si="1"/>
        <v>0</v>
      </c>
      <c r="W3" s="3">
        <f t="shared" si="1"/>
        <v>419449.33333333337</v>
      </c>
      <c r="X3" s="3">
        <f t="shared" si="1"/>
        <v>0</v>
      </c>
      <c r="Y3" s="3">
        <f t="shared" si="1"/>
        <v>921834.6</v>
      </c>
      <c r="Z3" s="3">
        <f t="shared" si="1"/>
        <v>0</v>
      </c>
      <c r="AA3" s="3">
        <f t="shared" si="1"/>
        <v>819764.7</v>
      </c>
      <c r="AB3" s="3">
        <f t="shared" si="1"/>
        <v>0</v>
      </c>
      <c r="AC3" s="3">
        <f t="shared" si="1"/>
        <v>1057138.72</v>
      </c>
      <c r="AD3" s="3">
        <f t="shared" si="1"/>
        <v>0</v>
      </c>
      <c r="AE3" s="3">
        <f t="shared" si="1"/>
        <v>1225444.6000000001</v>
      </c>
      <c r="AF3" s="3">
        <f t="shared" si="1"/>
        <v>0</v>
      </c>
      <c r="AG3" s="3">
        <f t="shared" si="1"/>
        <v>1443773.1333333333</v>
      </c>
      <c r="AH3" s="3">
        <f t="shared" si="1"/>
        <v>0</v>
      </c>
      <c r="AI3" s="3">
        <f t="shared" si="1"/>
        <v>1694946.6</v>
      </c>
      <c r="AJ3" s="3">
        <f t="shared" si="1"/>
        <v>0</v>
      </c>
      <c r="AK3" s="3">
        <f t="shared" si="1"/>
        <v>2057167.0307692308</v>
      </c>
      <c r="AL3" s="3">
        <f t="shared" si="1"/>
        <v>0</v>
      </c>
      <c r="AM3" s="3">
        <f t="shared" si="1"/>
        <v>2379351</v>
      </c>
      <c r="AN3" s="3">
        <f t="shared" si="1"/>
        <v>0</v>
      </c>
      <c r="AO3" s="3">
        <f t="shared" si="1"/>
        <v>12611173.717435896</v>
      </c>
      <c r="AP3" s="3">
        <f t="shared" si="1"/>
        <v>280894.55000000005</v>
      </c>
      <c r="AR3" s="3"/>
    </row>
    <row r="4" spans="1:44" x14ac:dyDescent="0.3">
      <c r="U4" s="3">
        <f>U3+69000</f>
        <v>390007</v>
      </c>
      <c r="V4" s="26"/>
      <c r="W4" s="3">
        <f>W3+69000</f>
        <v>488449.33333333337</v>
      </c>
      <c r="X4" s="26"/>
      <c r="Y4" s="3">
        <f>Y3+69000</f>
        <v>990834.6</v>
      </c>
      <c r="Z4" s="26"/>
      <c r="AA4" s="3">
        <f>AA3+69000</f>
        <v>888764.7</v>
      </c>
      <c r="AB4" s="3"/>
      <c r="AC4" s="3">
        <f t="shared" ref="AC4:AM4" si="2">AC3+69000</f>
        <v>1126138.72</v>
      </c>
      <c r="AD4" s="3"/>
      <c r="AE4" s="3">
        <f t="shared" si="2"/>
        <v>1294444.6000000001</v>
      </c>
      <c r="AF4" s="3"/>
      <c r="AG4" s="3">
        <f t="shared" si="2"/>
        <v>1512773.1333333333</v>
      </c>
      <c r="AH4" s="3"/>
      <c r="AI4" s="3">
        <f t="shared" si="2"/>
        <v>1763946.6</v>
      </c>
      <c r="AJ4" s="3"/>
      <c r="AK4" s="3">
        <f t="shared" si="2"/>
        <v>2126167.0307692308</v>
      </c>
      <c r="AL4" s="3"/>
      <c r="AM4" s="3">
        <f t="shared" si="2"/>
        <v>2448351</v>
      </c>
    </row>
    <row r="5" spans="1:44" s="4" customFormat="1" x14ac:dyDescent="0.3">
      <c r="A5" s="7" t="s">
        <v>0</v>
      </c>
      <c r="B5" s="5">
        <f>SUM(B6:B9)</f>
        <v>10000</v>
      </c>
      <c r="C5" s="25">
        <f>SUM(C6:C9)</f>
        <v>7485.3899999999994</v>
      </c>
      <c r="D5" s="5">
        <f t="shared" ref="D5:I5" si="3">SUM(D6:D9)</f>
        <v>4500</v>
      </c>
      <c r="E5" s="25">
        <f>SUM(E6:E9)</f>
        <v>2645.78</v>
      </c>
      <c r="F5" s="5">
        <f t="shared" si="3"/>
        <v>17500</v>
      </c>
      <c r="G5" s="25">
        <f t="shared" si="3"/>
        <v>4328.82</v>
      </c>
      <c r="H5" s="5">
        <f t="shared" si="3"/>
        <v>10000</v>
      </c>
      <c r="I5" s="5">
        <f t="shared" si="3"/>
        <v>0</v>
      </c>
      <c r="J5" s="3">
        <f t="shared" ref="J5:J9" si="4">SUM(B5,D5,F5,H5)</f>
        <v>42000</v>
      </c>
      <c r="K5" s="3">
        <f t="shared" ref="K5:K9" si="5">SUM(C5,E5,G5,I5)</f>
        <v>14459.99</v>
      </c>
      <c r="Q5" s="25">
        <f t="shared" ref="Q5:AN5" si="6">SUM(Q6:Q10)</f>
        <v>7000</v>
      </c>
      <c r="R5" s="25">
        <f t="shared" si="6"/>
        <v>16198.88</v>
      </c>
      <c r="S5" s="25">
        <f t="shared" si="6"/>
        <v>1807</v>
      </c>
      <c r="T5" s="25">
        <f t="shared" si="6"/>
        <v>1070.9100000000001</v>
      </c>
      <c r="U5" s="5">
        <f t="shared" si="6"/>
        <v>14987</v>
      </c>
      <c r="V5" s="5">
        <f t="shared" si="6"/>
        <v>0</v>
      </c>
      <c r="W5" s="5">
        <f t="shared" si="6"/>
        <v>162756</v>
      </c>
      <c r="X5" s="5">
        <f t="shared" si="6"/>
        <v>0</v>
      </c>
      <c r="Y5" s="5">
        <f t="shared" si="6"/>
        <v>200249</v>
      </c>
      <c r="Z5" s="5">
        <f t="shared" si="6"/>
        <v>0</v>
      </c>
      <c r="AA5" s="5">
        <f t="shared" si="6"/>
        <v>323422</v>
      </c>
      <c r="AB5" s="5">
        <f t="shared" si="6"/>
        <v>0</v>
      </c>
      <c r="AC5" s="5">
        <f t="shared" si="6"/>
        <v>477254</v>
      </c>
      <c r="AD5" s="5">
        <f t="shared" si="6"/>
        <v>0</v>
      </c>
      <c r="AE5" s="5">
        <f t="shared" si="6"/>
        <v>681021</v>
      </c>
      <c r="AF5" s="5">
        <f t="shared" si="6"/>
        <v>0</v>
      </c>
      <c r="AG5" s="5">
        <f t="shared" si="6"/>
        <v>900241</v>
      </c>
      <c r="AH5" s="5">
        <f t="shared" si="6"/>
        <v>0</v>
      </c>
      <c r="AI5" s="5">
        <f t="shared" si="6"/>
        <v>1145002</v>
      </c>
      <c r="AJ5" s="5">
        <f t="shared" si="6"/>
        <v>0</v>
      </c>
      <c r="AK5" s="5">
        <f t="shared" si="6"/>
        <v>1439021</v>
      </c>
      <c r="AL5" s="5">
        <f t="shared" si="6"/>
        <v>0</v>
      </c>
      <c r="AM5" s="5">
        <f t="shared" si="6"/>
        <v>1815641</v>
      </c>
      <c r="AN5" s="5">
        <f t="shared" si="6"/>
        <v>0</v>
      </c>
      <c r="AO5" s="25">
        <f>SUM(AM5,AK5,AI5,AG5,AE5,AC5,AA5,Y5,W5,U5,S5,Q5)</f>
        <v>7168401</v>
      </c>
      <c r="AP5" s="25">
        <f>SUM(AN5,AL5,AJ5,AH5,AF5,AD5,AB5,Z5,X5,V5,T5,R5)</f>
        <v>17269.79</v>
      </c>
    </row>
    <row r="6" spans="1:44" x14ac:dyDescent="0.3">
      <c r="A6" s="6" t="s">
        <v>1</v>
      </c>
      <c r="B6" s="3">
        <v>3000</v>
      </c>
      <c r="C6" s="24">
        <v>614.04999999999995</v>
      </c>
      <c r="D6" s="3"/>
      <c r="E6" s="24">
        <v>1846</v>
      </c>
      <c r="F6" s="3">
        <v>3000</v>
      </c>
      <c r="G6" s="24"/>
      <c r="H6" s="3">
        <v>0</v>
      </c>
      <c r="I6" s="3"/>
      <c r="J6" s="3">
        <f t="shared" si="4"/>
        <v>6000</v>
      </c>
      <c r="K6" s="3">
        <f t="shared" si="5"/>
        <v>2460.0500000000002</v>
      </c>
      <c r="M6" s="3"/>
      <c r="Q6" s="24">
        <v>0</v>
      </c>
      <c r="R6" s="24"/>
      <c r="S6" s="24">
        <v>0</v>
      </c>
      <c r="T6" s="24"/>
      <c r="U6" s="3">
        <v>3723</v>
      </c>
      <c r="V6" s="3"/>
      <c r="W6" s="3">
        <v>40431</v>
      </c>
      <c r="X6" s="3"/>
      <c r="Y6" s="3">
        <v>49745</v>
      </c>
      <c r="Z6" s="3"/>
      <c r="AA6" s="3">
        <v>80343</v>
      </c>
      <c r="AB6" s="3"/>
      <c r="AC6" s="3">
        <v>118557</v>
      </c>
      <c r="AD6" s="3"/>
      <c r="AE6" s="3">
        <v>169176</v>
      </c>
      <c r="AF6" s="3"/>
      <c r="AG6" s="3">
        <v>223634</v>
      </c>
      <c r="AH6" s="3"/>
      <c r="AI6" s="3">
        <v>284437</v>
      </c>
      <c r="AJ6" s="3"/>
      <c r="AK6" s="3">
        <v>357476</v>
      </c>
      <c r="AL6" s="3"/>
      <c r="AM6" s="3">
        <v>451034</v>
      </c>
      <c r="AN6" s="3"/>
      <c r="AO6" s="24">
        <f>SUM(AM6,AK6,AI6,AG6,AE6,AC6,AA6,Y6,W6,U6,S6,Q6)</f>
        <v>1778556</v>
      </c>
      <c r="AP6" s="24">
        <f>SUM(AN6,AL6,AJ6,AH6,AF6,AD6,AB6,Z6,X6,V6,T6,R6)</f>
        <v>0</v>
      </c>
      <c r="AQ6" s="61"/>
    </row>
    <row r="7" spans="1:44" x14ac:dyDescent="0.3">
      <c r="A7" s="6" t="s">
        <v>3</v>
      </c>
      <c r="B7" s="3">
        <v>2000</v>
      </c>
      <c r="C7" s="24">
        <v>2000.84</v>
      </c>
      <c r="D7" s="3">
        <v>3000</v>
      </c>
      <c r="E7" s="24">
        <v>477.84</v>
      </c>
      <c r="F7" s="3">
        <v>10000</v>
      </c>
      <c r="G7" s="24">
        <v>4328.82</v>
      </c>
      <c r="H7" s="3">
        <v>10000</v>
      </c>
      <c r="I7" s="3" t="s">
        <v>50</v>
      </c>
      <c r="J7" s="3">
        <f t="shared" si="4"/>
        <v>25000</v>
      </c>
      <c r="K7" s="3">
        <f t="shared" si="5"/>
        <v>6807.5</v>
      </c>
      <c r="M7" s="3"/>
      <c r="Q7" s="24">
        <v>7000</v>
      </c>
      <c r="R7" s="24">
        <f>16198.88</f>
        <v>16198.88</v>
      </c>
      <c r="S7" s="24">
        <v>1807</v>
      </c>
      <c r="T7" s="24">
        <v>1070.9100000000001</v>
      </c>
      <c r="U7" s="3">
        <v>9032</v>
      </c>
      <c r="V7" s="3"/>
      <c r="W7" s="3">
        <v>98086</v>
      </c>
      <c r="X7" s="3"/>
      <c r="Y7" s="3">
        <v>120681</v>
      </c>
      <c r="Z7" s="3"/>
      <c r="AA7" s="3">
        <v>194912</v>
      </c>
      <c r="AB7" s="3"/>
      <c r="AC7" s="3">
        <v>287619</v>
      </c>
      <c r="AD7" s="3"/>
      <c r="AE7" s="3">
        <v>410420</v>
      </c>
      <c r="AF7" s="3"/>
      <c r="AG7" s="3">
        <v>542533</v>
      </c>
      <c r="AH7" s="3"/>
      <c r="AI7" s="3">
        <v>690040</v>
      </c>
      <c r="AJ7" s="3"/>
      <c r="AK7" s="3">
        <v>867232</v>
      </c>
      <c r="AL7" s="3"/>
      <c r="AM7" s="3">
        <v>1094203</v>
      </c>
      <c r="AN7" s="3"/>
      <c r="AO7" s="24">
        <f t="shared" ref="AO7:AP10" si="7">SUM(AM7,AK7,AI7,AG7,AE7,AC7,AA7,Y7,W7,U7,S7,Q7)</f>
        <v>4323565</v>
      </c>
      <c r="AP7" s="24">
        <f t="shared" si="7"/>
        <v>17269.79</v>
      </c>
      <c r="AQ7" s="61"/>
      <c r="AR7" s="62"/>
    </row>
    <row r="8" spans="1:44" x14ac:dyDescent="0.3">
      <c r="A8" s="6" t="s">
        <v>5</v>
      </c>
      <c r="B8" s="3">
        <v>5000</v>
      </c>
      <c r="C8" s="24">
        <v>4870.5</v>
      </c>
      <c r="D8" s="3"/>
      <c r="E8" s="24">
        <v>321.94</v>
      </c>
      <c r="F8" s="3">
        <v>1500</v>
      </c>
      <c r="G8" s="24"/>
      <c r="H8" s="3">
        <v>0</v>
      </c>
      <c r="I8" s="3"/>
      <c r="J8" s="3">
        <f t="shared" si="4"/>
        <v>6500</v>
      </c>
      <c r="K8" s="3">
        <f t="shared" si="5"/>
        <v>5192.4399999999996</v>
      </c>
      <c r="Q8" s="24">
        <v>0</v>
      </c>
      <c r="R8" s="24"/>
      <c r="S8" s="24">
        <v>0</v>
      </c>
      <c r="T8" s="24"/>
      <c r="U8" s="3">
        <v>15</v>
      </c>
      <c r="V8" s="3"/>
      <c r="W8" s="3">
        <v>163</v>
      </c>
      <c r="X8" s="3"/>
      <c r="Y8" s="3">
        <v>200</v>
      </c>
      <c r="Z8" s="3"/>
      <c r="AA8" s="3">
        <v>323</v>
      </c>
      <c r="AB8" s="3"/>
      <c r="AC8" s="3">
        <v>477</v>
      </c>
      <c r="AD8" s="3"/>
      <c r="AE8" s="3">
        <v>681</v>
      </c>
      <c r="AF8" s="3"/>
      <c r="AG8" s="3">
        <v>900</v>
      </c>
      <c r="AH8" s="3"/>
      <c r="AI8" s="3">
        <v>1144</v>
      </c>
      <c r="AJ8" s="3"/>
      <c r="AK8" s="3">
        <v>1438</v>
      </c>
      <c r="AL8" s="3"/>
      <c r="AM8" s="3">
        <v>1815</v>
      </c>
      <c r="AN8" s="3"/>
      <c r="AO8" s="24">
        <f t="shared" si="7"/>
        <v>7156</v>
      </c>
      <c r="AP8" s="24">
        <f t="shared" si="7"/>
        <v>0</v>
      </c>
      <c r="AQ8" s="61"/>
    </row>
    <row r="9" spans="1:44" x14ac:dyDescent="0.3">
      <c r="A9" s="6" t="s">
        <v>7</v>
      </c>
      <c r="B9" s="3">
        <v>0</v>
      </c>
      <c r="C9" s="24"/>
      <c r="D9" s="3">
        <v>1500</v>
      </c>
      <c r="E9" s="24"/>
      <c r="F9" s="3">
        <v>3000</v>
      </c>
      <c r="G9" s="24"/>
      <c r="H9" s="3">
        <v>0</v>
      </c>
      <c r="I9" s="3"/>
      <c r="J9" s="3">
        <f t="shared" si="4"/>
        <v>4500</v>
      </c>
      <c r="K9" s="3">
        <f t="shared" si="5"/>
        <v>0</v>
      </c>
      <c r="Q9" s="24">
        <v>0</v>
      </c>
      <c r="R9" s="24"/>
      <c r="S9" s="24">
        <v>0</v>
      </c>
      <c r="T9" s="24"/>
      <c r="U9" s="3">
        <v>1348</v>
      </c>
      <c r="V9" s="3"/>
      <c r="W9" s="3">
        <v>14641</v>
      </c>
      <c r="X9" s="3"/>
      <c r="Y9" s="3">
        <v>18014</v>
      </c>
      <c r="Z9" s="3"/>
      <c r="AA9" s="3">
        <v>29094</v>
      </c>
      <c r="AB9" s="3"/>
      <c r="AC9" s="3">
        <v>42933</v>
      </c>
      <c r="AD9" s="3"/>
      <c r="AE9" s="3">
        <v>61263</v>
      </c>
      <c r="AF9" s="3"/>
      <c r="AG9" s="3">
        <v>80984</v>
      </c>
      <c r="AH9" s="3"/>
      <c r="AI9" s="3">
        <v>103002</v>
      </c>
      <c r="AJ9" s="3"/>
      <c r="AK9" s="3">
        <v>129451</v>
      </c>
      <c r="AL9" s="3"/>
      <c r="AM9" s="3">
        <v>163331</v>
      </c>
      <c r="AN9" s="3"/>
      <c r="AO9" s="3">
        <f t="shared" si="7"/>
        <v>644061</v>
      </c>
      <c r="AP9" s="3">
        <f t="shared" si="7"/>
        <v>0</v>
      </c>
      <c r="AQ9" s="61"/>
      <c r="AR9" s="3"/>
    </row>
    <row r="10" spans="1:44" x14ac:dyDescent="0.3">
      <c r="A10" s="6" t="s">
        <v>51</v>
      </c>
      <c r="B10" s="3"/>
      <c r="C10" s="24"/>
      <c r="D10" s="3"/>
      <c r="E10" s="24"/>
      <c r="F10" s="3"/>
      <c r="G10" s="24"/>
      <c r="H10" s="3"/>
      <c r="I10" s="3"/>
      <c r="J10" s="3"/>
      <c r="K10" s="3"/>
      <c r="Q10" s="24">
        <v>0</v>
      </c>
      <c r="R10" s="24"/>
      <c r="S10" s="24">
        <v>0</v>
      </c>
      <c r="T10" s="24"/>
      <c r="U10" s="3">
        <v>869</v>
      </c>
      <c r="V10" s="3"/>
      <c r="W10" s="3">
        <v>9435</v>
      </c>
      <c r="X10" s="3"/>
      <c r="Y10" s="3">
        <v>11609</v>
      </c>
      <c r="Z10" s="3"/>
      <c r="AA10" s="3">
        <v>18750</v>
      </c>
      <c r="AB10" s="3"/>
      <c r="AC10" s="3">
        <v>27668</v>
      </c>
      <c r="AD10" s="3"/>
      <c r="AE10" s="3">
        <v>39481</v>
      </c>
      <c r="AF10" s="3"/>
      <c r="AG10" s="3">
        <v>52190</v>
      </c>
      <c r="AH10" s="3"/>
      <c r="AI10" s="3">
        <v>66379</v>
      </c>
      <c r="AJ10" s="3"/>
      <c r="AK10" s="3">
        <v>83424</v>
      </c>
      <c r="AL10" s="3"/>
      <c r="AM10" s="3">
        <v>105258</v>
      </c>
      <c r="AN10" s="3"/>
      <c r="AO10" s="24">
        <f t="shared" si="7"/>
        <v>415063</v>
      </c>
      <c r="AP10" s="24">
        <f t="shared" si="7"/>
        <v>0</v>
      </c>
      <c r="AQ10" s="61"/>
    </row>
    <row r="11" spans="1:44" x14ac:dyDescent="0.3">
      <c r="B11" s="3"/>
      <c r="C11" s="24"/>
      <c r="D11" s="3"/>
      <c r="E11" s="24"/>
      <c r="F11" s="3"/>
      <c r="G11" s="24"/>
      <c r="H11" s="3"/>
      <c r="I11" s="3"/>
      <c r="J11" s="3"/>
      <c r="Q11" s="24"/>
      <c r="R11" s="24"/>
      <c r="S11" s="24"/>
      <c r="T11" s="24"/>
      <c r="U11" s="3"/>
      <c r="V11" s="24"/>
      <c r="W11" s="3"/>
      <c r="X11" s="24"/>
      <c r="Y11" s="3"/>
      <c r="Z11" s="24"/>
      <c r="AA11" s="3"/>
      <c r="AB11" s="24"/>
      <c r="AC11" s="3"/>
      <c r="AD11" s="24"/>
      <c r="AE11" s="3"/>
      <c r="AF11" s="24"/>
      <c r="AG11" s="3"/>
      <c r="AH11" s="24"/>
      <c r="AI11" s="3"/>
      <c r="AJ11" s="3"/>
      <c r="AK11" s="3"/>
      <c r="AL11" s="3"/>
      <c r="AM11" s="3"/>
      <c r="AN11" s="3"/>
    </row>
    <row r="12" spans="1:44" s="4" customFormat="1" x14ac:dyDescent="0.3">
      <c r="A12" s="7" t="s">
        <v>2</v>
      </c>
      <c r="B12" s="5">
        <f>SUM(B13:B15)</f>
        <v>0</v>
      </c>
      <c r="C12" s="25">
        <f t="shared" ref="C12:I12" si="8">SUM(C13:C15)</f>
        <v>0</v>
      </c>
      <c r="D12" s="5">
        <f t="shared" si="8"/>
        <v>0</v>
      </c>
      <c r="E12" s="25">
        <f t="shared" si="8"/>
        <v>0</v>
      </c>
      <c r="F12" s="5">
        <f t="shared" si="8"/>
        <v>30000</v>
      </c>
      <c r="G12" s="25">
        <f t="shared" si="8"/>
        <v>5800</v>
      </c>
      <c r="H12" s="5">
        <f t="shared" si="8"/>
        <v>30000</v>
      </c>
      <c r="I12" s="5">
        <f t="shared" si="8"/>
        <v>0</v>
      </c>
      <c r="J12" s="3">
        <f t="shared" ref="J12:K15" si="9">SUM(B12,D12,F12,H12)</f>
        <v>60000</v>
      </c>
      <c r="K12" s="3">
        <f t="shared" si="9"/>
        <v>5800</v>
      </c>
      <c r="Q12" s="25">
        <f>SUM(Q13:Q15)</f>
        <v>20000</v>
      </c>
      <c r="R12" s="25">
        <f>SUM(R13:R15)</f>
        <v>19300</v>
      </c>
      <c r="S12" s="25">
        <f t="shared" ref="S12:AP12" si="10">SUM(S13:S15)</f>
        <v>0</v>
      </c>
      <c r="T12" s="25">
        <f t="shared" si="10"/>
        <v>0</v>
      </c>
      <c r="U12" s="5">
        <f t="shared" si="10"/>
        <v>50000</v>
      </c>
      <c r="V12" s="5">
        <f t="shared" si="10"/>
        <v>0</v>
      </c>
      <c r="W12" s="5">
        <f t="shared" si="10"/>
        <v>110000</v>
      </c>
      <c r="X12" s="5">
        <f t="shared" si="10"/>
        <v>0</v>
      </c>
      <c r="Y12" s="5">
        <f t="shared" si="10"/>
        <v>350000</v>
      </c>
      <c r="Z12" s="5">
        <f t="shared" si="10"/>
        <v>0</v>
      </c>
      <c r="AA12" s="5">
        <f t="shared" si="10"/>
        <v>350000</v>
      </c>
      <c r="AB12" s="5">
        <f t="shared" si="10"/>
        <v>0</v>
      </c>
      <c r="AC12" s="5">
        <f t="shared" si="10"/>
        <v>400000</v>
      </c>
      <c r="AD12" s="5">
        <f t="shared" si="10"/>
        <v>0</v>
      </c>
      <c r="AE12" s="5">
        <f t="shared" si="10"/>
        <v>350000</v>
      </c>
      <c r="AF12" s="5">
        <f t="shared" si="10"/>
        <v>0</v>
      </c>
      <c r="AG12" s="5">
        <f t="shared" si="10"/>
        <v>350000</v>
      </c>
      <c r="AH12" s="5">
        <f t="shared" si="10"/>
        <v>0</v>
      </c>
      <c r="AI12" s="5">
        <f t="shared" si="10"/>
        <v>350000</v>
      </c>
      <c r="AJ12" s="5">
        <f t="shared" si="10"/>
        <v>0</v>
      </c>
      <c r="AK12" s="5">
        <f t="shared" si="10"/>
        <v>350000</v>
      </c>
      <c r="AL12" s="5">
        <f t="shared" si="10"/>
        <v>0</v>
      </c>
      <c r="AM12" s="5">
        <f t="shared" si="10"/>
        <v>350000</v>
      </c>
      <c r="AN12" s="5">
        <f t="shared" si="10"/>
        <v>0</v>
      </c>
      <c r="AO12" s="5">
        <f t="shared" si="10"/>
        <v>3030000</v>
      </c>
      <c r="AP12" s="5">
        <f t="shared" si="10"/>
        <v>19300</v>
      </c>
    </row>
    <row r="13" spans="1:44" x14ac:dyDescent="0.3">
      <c r="A13" s="6" t="s">
        <v>9</v>
      </c>
      <c r="B13" s="3"/>
      <c r="C13" s="24"/>
      <c r="D13" s="3"/>
      <c r="E13" s="24"/>
      <c r="F13" s="3">
        <v>30000</v>
      </c>
      <c r="G13" s="24">
        <v>5800</v>
      </c>
      <c r="H13" s="3">
        <v>30000</v>
      </c>
      <c r="I13" s="3"/>
      <c r="J13" s="3">
        <f t="shared" si="9"/>
        <v>60000</v>
      </c>
      <c r="K13" s="3">
        <f t="shared" si="9"/>
        <v>5800</v>
      </c>
      <c r="Q13" s="24">
        <v>20000</v>
      </c>
      <c r="R13" s="24">
        <v>19300</v>
      </c>
      <c r="S13" s="24">
        <v>0</v>
      </c>
      <c r="T13" s="24"/>
      <c r="U13" s="3">
        <v>50000</v>
      </c>
      <c r="V13" s="24"/>
      <c r="W13" s="3">
        <v>110000</v>
      </c>
      <c r="X13" s="24"/>
      <c r="Y13" s="3">
        <v>350000</v>
      </c>
      <c r="Z13" s="24"/>
      <c r="AA13" s="3">
        <v>350000</v>
      </c>
      <c r="AB13" s="24"/>
      <c r="AC13" s="3">
        <v>400000</v>
      </c>
      <c r="AD13" s="24"/>
      <c r="AE13" s="3">
        <v>350000</v>
      </c>
      <c r="AF13" s="24"/>
      <c r="AG13" s="3">
        <v>350000</v>
      </c>
      <c r="AH13" s="24"/>
      <c r="AI13" s="3">
        <v>350000</v>
      </c>
      <c r="AJ13" s="3"/>
      <c r="AK13" s="3">
        <v>350000</v>
      </c>
      <c r="AL13" s="3"/>
      <c r="AM13" s="3">
        <v>350000</v>
      </c>
      <c r="AN13" s="3"/>
      <c r="AO13" s="24">
        <f t="shared" ref="AO13:AP13" si="11">SUM(AM13,AK13,AI13,AG13,AE13,AC13,AA13,Y13,W13,U13,S13,Q13)</f>
        <v>3030000</v>
      </c>
      <c r="AP13" s="24">
        <f t="shared" si="11"/>
        <v>19300</v>
      </c>
    </row>
    <row r="14" spans="1:44" x14ac:dyDescent="0.3">
      <c r="A14" s="6" t="s">
        <v>11</v>
      </c>
      <c r="B14" s="3"/>
      <c r="C14" s="24"/>
      <c r="D14" s="3"/>
      <c r="E14" s="24"/>
      <c r="F14" s="3"/>
      <c r="G14" s="24"/>
      <c r="H14" s="3"/>
      <c r="I14" s="3"/>
      <c r="J14" s="3">
        <f t="shared" si="9"/>
        <v>0</v>
      </c>
      <c r="K14" s="3">
        <f t="shared" si="9"/>
        <v>0</v>
      </c>
      <c r="Q14" s="24"/>
      <c r="R14" s="24"/>
      <c r="S14" s="24"/>
      <c r="T14" s="24"/>
      <c r="U14" s="3"/>
      <c r="V14" s="24"/>
      <c r="W14" s="3"/>
      <c r="X14" s="24"/>
      <c r="Y14" s="3"/>
      <c r="Z14" s="24"/>
      <c r="AA14" s="3"/>
      <c r="AB14" s="24"/>
      <c r="AC14" s="3"/>
      <c r="AD14" s="24"/>
      <c r="AE14" s="3"/>
      <c r="AF14" s="24"/>
      <c r="AG14" s="3"/>
      <c r="AH14" s="24"/>
      <c r="AI14" s="3"/>
      <c r="AJ14" s="3"/>
      <c r="AK14" s="3"/>
      <c r="AL14" s="3"/>
      <c r="AM14" s="3"/>
      <c r="AN14" s="3"/>
      <c r="AP14" s="26"/>
    </row>
    <row r="15" spans="1:44" x14ac:dyDescent="0.3">
      <c r="A15" s="6" t="s">
        <v>13</v>
      </c>
      <c r="B15" s="3"/>
      <c r="C15" s="24"/>
      <c r="D15" s="3"/>
      <c r="E15" s="24"/>
      <c r="F15" s="3"/>
      <c r="G15" s="24"/>
      <c r="H15" s="3"/>
      <c r="I15" s="3"/>
      <c r="J15" s="3">
        <f t="shared" si="9"/>
        <v>0</v>
      </c>
      <c r="K15" s="3">
        <f t="shared" si="9"/>
        <v>0</v>
      </c>
      <c r="Q15" s="24"/>
      <c r="R15" s="24"/>
      <c r="S15" s="24"/>
      <c r="T15" s="24"/>
      <c r="U15" s="3"/>
      <c r="V15" s="24"/>
      <c r="W15" s="3"/>
      <c r="X15" s="24"/>
      <c r="Y15" s="3"/>
      <c r="Z15" s="24"/>
      <c r="AA15" s="3"/>
      <c r="AB15" s="24"/>
      <c r="AC15" s="3"/>
      <c r="AD15" s="24"/>
      <c r="AE15" s="3"/>
      <c r="AF15" s="24"/>
      <c r="AG15" s="3"/>
      <c r="AH15" s="24"/>
      <c r="AI15" s="3"/>
      <c r="AJ15" s="3"/>
      <c r="AK15" s="3"/>
      <c r="AL15" s="3"/>
      <c r="AM15" s="3"/>
      <c r="AN15" s="3"/>
      <c r="AP15" s="26"/>
    </row>
    <row r="16" spans="1:44" x14ac:dyDescent="0.3">
      <c r="B16" s="3"/>
      <c r="C16" s="24"/>
      <c r="D16" s="3"/>
      <c r="E16" s="24"/>
      <c r="F16" s="3"/>
      <c r="G16" s="24"/>
      <c r="H16" s="3"/>
      <c r="I16" s="3"/>
      <c r="J16" s="3"/>
      <c r="Q16" s="24"/>
      <c r="R16" s="24"/>
      <c r="S16" s="24"/>
      <c r="T16" s="24"/>
      <c r="U16" s="3"/>
      <c r="V16" s="24"/>
      <c r="W16" s="3"/>
      <c r="X16" s="24"/>
      <c r="Y16" s="3"/>
      <c r="Z16" s="24"/>
      <c r="AA16" s="3"/>
      <c r="AB16" s="24"/>
      <c r="AC16" s="3"/>
      <c r="AD16" s="24"/>
      <c r="AE16" s="3"/>
      <c r="AF16" s="24"/>
      <c r="AG16" s="3"/>
      <c r="AH16" s="24"/>
      <c r="AI16" s="3"/>
      <c r="AJ16" s="3"/>
      <c r="AK16" s="3"/>
      <c r="AL16" s="3"/>
      <c r="AM16" s="3"/>
      <c r="AN16" s="3"/>
      <c r="AP16" s="26"/>
    </row>
    <row r="17" spans="1:42" s="4" customFormat="1" x14ac:dyDescent="0.3">
      <c r="A17" s="7" t="s">
        <v>4</v>
      </c>
      <c r="B17" s="5">
        <f t="shared" ref="B17:K17" si="12">SUM(B18:B19)</f>
        <v>200</v>
      </c>
      <c r="C17" s="25">
        <f t="shared" si="12"/>
        <v>0</v>
      </c>
      <c r="D17" s="5">
        <f t="shared" si="12"/>
        <v>1000</v>
      </c>
      <c r="E17" s="25">
        <f t="shared" si="12"/>
        <v>30556.560000000001</v>
      </c>
      <c r="F17" s="5">
        <f t="shared" si="12"/>
        <v>2600</v>
      </c>
      <c r="G17" s="25">
        <f t="shared" si="12"/>
        <v>0</v>
      </c>
      <c r="H17" s="5">
        <f t="shared" si="12"/>
        <v>78500</v>
      </c>
      <c r="I17" s="5">
        <f t="shared" si="12"/>
        <v>0</v>
      </c>
      <c r="J17" s="3">
        <f t="shared" si="12"/>
        <v>1800</v>
      </c>
      <c r="K17" s="3">
        <f t="shared" si="12"/>
        <v>618.41</v>
      </c>
      <c r="Q17" s="25">
        <f t="shared" ref="Q17:AN17" si="13">SUM(Q18:Q19)</f>
        <v>2000</v>
      </c>
      <c r="R17" s="25">
        <f t="shared" si="13"/>
        <v>1500</v>
      </c>
      <c r="S17" s="25">
        <f t="shared" si="13"/>
        <v>0</v>
      </c>
      <c r="T17" s="25">
        <f t="shared" si="13"/>
        <v>0</v>
      </c>
      <c r="U17" s="5">
        <f t="shared" si="13"/>
        <v>0</v>
      </c>
      <c r="V17" s="25">
        <f t="shared" si="13"/>
        <v>0</v>
      </c>
      <c r="W17" s="5">
        <f t="shared" si="13"/>
        <v>3500</v>
      </c>
      <c r="X17" s="25">
        <f t="shared" si="13"/>
        <v>0</v>
      </c>
      <c r="Y17" s="5">
        <f t="shared" si="13"/>
        <v>3500</v>
      </c>
      <c r="Z17" s="25">
        <f t="shared" si="13"/>
        <v>0</v>
      </c>
      <c r="AA17" s="5">
        <f t="shared" si="13"/>
        <v>3500</v>
      </c>
      <c r="AB17" s="25">
        <f t="shared" si="13"/>
        <v>0</v>
      </c>
      <c r="AC17" s="5">
        <f t="shared" si="13"/>
        <v>3500</v>
      </c>
      <c r="AD17" s="25">
        <f t="shared" si="13"/>
        <v>0</v>
      </c>
      <c r="AE17" s="5">
        <f t="shared" si="13"/>
        <v>3500</v>
      </c>
      <c r="AF17" s="25">
        <f t="shared" si="13"/>
        <v>0</v>
      </c>
      <c r="AG17" s="5">
        <f t="shared" si="13"/>
        <v>3500</v>
      </c>
      <c r="AH17" s="25">
        <f t="shared" si="13"/>
        <v>0</v>
      </c>
      <c r="AI17" s="5">
        <f t="shared" si="13"/>
        <v>3500</v>
      </c>
      <c r="AJ17" s="5">
        <f t="shared" si="13"/>
        <v>0</v>
      </c>
      <c r="AK17" s="5">
        <f t="shared" si="13"/>
        <v>3500</v>
      </c>
      <c r="AL17" s="5">
        <f t="shared" si="13"/>
        <v>0</v>
      </c>
      <c r="AM17" s="5">
        <f t="shared" si="13"/>
        <v>3500</v>
      </c>
      <c r="AN17" s="5">
        <f t="shared" si="13"/>
        <v>0</v>
      </c>
      <c r="AO17" s="25">
        <f>SUM(AM17,AK17,AI17,AG17,AE17,AC17,AA17,Y17,W17,U17,S17,Q17)</f>
        <v>33500</v>
      </c>
      <c r="AP17" s="25">
        <f>SUM(AN17,AL17,AJ17,AH17,AF17,AD17,AB17,Z17,X17,V17,T17,R17)</f>
        <v>1500</v>
      </c>
    </row>
    <row r="18" spans="1:42" s="4" customFormat="1" x14ac:dyDescent="0.3">
      <c r="A18" s="6" t="s">
        <v>14</v>
      </c>
      <c r="B18" s="5"/>
      <c r="C18" s="25"/>
      <c r="D18" s="5"/>
      <c r="E18" s="24">
        <v>29938.15</v>
      </c>
      <c r="F18" s="5">
        <v>2000</v>
      </c>
      <c r="G18" s="25"/>
      <c r="H18" s="3">
        <v>78500</v>
      </c>
      <c r="I18" s="5"/>
      <c r="J18" s="3"/>
      <c r="K18" s="3"/>
      <c r="Q18" s="24">
        <v>1500</v>
      </c>
      <c r="R18" s="24">
        <v>1500</v>
      </c>
      <c r="S18" s="24"/>
      <c r="T18" s="24"/>
      <c r="U18" s="3"/>
      <c r="V18" s="24"/>
      <c r="W18" s="3">
        <v>3000</v>
      </c>
      <c r="X18" s="24"/>
      <c r="Y18" s="3">
        <v>3000</v>
      </c>
      <c r="Z18" s="24"/>
      <c r="AA18" s="3">
        <v>3000</v>
      </c>
      <c r="AB18" s="24"/>
      <c r="AC18" s="3">
        <v>3000</v>
      </c>
      <c r="AD18" s="24"/>
      <c r="AE18" s="3">
        <v>3000</v>
      </c>
      <c r="AF18" s="24"/>
      <c r="AG18" s="3">
        <v>3000</v>
      </c>
      <c r="AH18" s="24"/>
      <c r="AI18" s="3">
        <v>3000</v>
      </c>
      <c r="AJ18" s="24"/>
      <c r="AK18" s="3">
        <v>3000</v>
      </c>
      <c r="AL18" s="3"/>
      <c r="AM18" s="3">
        <v>3000</v>
      </c>
      <c r="AN18" s="5"/>
      <c r="AO18" s="24">
        <f t="shared" ref="AO18:AP19" si="14">SUM(AM18,AK18,AI18,AG18,AE18,AC18,AA18,Y18,W18,U18,S18,Q18)</f>
        <v>28500</v>
      </c>
      <c r="AP18" s="24">
        <f t="shared" si="14"/>
        <v>1500</v>
      </c>
    </row>
    <row r="19" spans="1:42" x14ac:dyDescent="0.3">
      <c r="A19" s="8" t="s">
        <v>15</v>
      </c>
      <c r="B19" s="3">
        <v>200</v>
      </c>
      <c r="C19" s="24"/>
      <c r="D19" s="3">
        <v>1000</v>
      </c>
      <c r="E19" s="24">
        <v>618.41</v>
      </c>
      <c r="F19" s="3">
        <v>600</v>
      </c>
      <c r="G19" s="24"/>
      <c r="H19" s="3">
        <v>0</v>
      </c>
      <c r="I19" s="3"/>
      <c r="J19" s="3">
        <f>SUM(B19,D19,F19,H19)</f>
        <v>1800</v>
      </c>
      <c r="K19" s="3">
        <f>SUM(C19,E19,G19,I19)</f>
        <v>618.41</v>
      </c>
      <c r="Q19" s="24">
        <v>500</v>
      </c>
      <c r="R19" s="24">
        <v>0</v>
      </c>
      <c r="S19" s="24"/>
      <c r="T19" s="24"/>
      <c r="U19" s="3"/>
      <c r="V19" s="24"/>
      <c r="W19" s="3">
        <v>500</v>
      </c>
      <c r="X19" s="24"/>
      <c r="Y19" s="3">
        <v>500</v>
      </c>
      <c r="Z19" s="24"/>
      <c r="AA19" s="3">
        <v>500</v>
      </c>
      <c r="AB19" s="24"/>
      <c r="AC19" s="3">
        <v>500</v>
      </c>
      <c r="AD19" s="24"/>
      <c r="AE19" s="3">
        <v>500</v>
      </c>
      <c r="AF19" s="24"/>
      <c r="AG19" s="3">
        <v>500</v>
      </c>
      <c r="AH19" s="24"/>
      <c r="AI19" s="3">
        <v>500</v>
      </c>
      <c r="AJ19" s="3"/>
      <c r="AK19" s="3">
        <v>500</v>
      </c>
      <c r="AL19" s="3"/>
      <c r="AM19" s="3">
        <v>500</v>
      </c>
      <c r="AN19" s="3"/>
      <c r="AO19" s="24">
        <f t="shared" si="14"/>
        <v>5000</v>
      </c>
      <c r="AP19" s="24">
        <f t="shared" si="14"/>
        <v>0</v>
      </c>
    </row>
    <row r="20" spans="1:42" x14ac:dyDescent="0.3">
      <c r="B20" s="3"/>
      <c r="C20" s="24"/>
      <c r="D20" s="3"/>
      <c r="E20" s="24"/>
      <c r="F20" s="3"/>
      <c r="G20" s="24"/>
      <c r="H20" s="3"/>
      <c r="I20" s="3"/>
      <c r="J20" s="3"/>
      <c r="Q20" s="24"/>
      <c r="R20" s="24"/>
      <c r="S20" s="24"/>
      <c r="T20" s="24"/>
      <c r="U20" s="3"/>
      <c r="V20" s="24"/>
      <c r="W20" s="3"/>
      <c r="X20" s="24"/>
      <c r="Y20" s="3"/>
      <c r="Z20" s="24"/>
      <c r="AA20" s="3"/>
      <c r="AB20" s="24"/>
      <c r="AC20" s="3"/>
      <c r="AD20" s="24"/>
      <c r="AE20" s="3"/>
      <c r="AF20" s="24"/>
      <c r="AG20" s="3"/>
      <c r="AH20" s="24"/>
      <c r="AI20" s="3"/>
      <c r="AJ20" s="3"/>
      <c r="AK20" s="3"/>
      <c r="AL20" s="3"/>
      <c r="AM20" s="3"/>
      <c r="AN20" s="3"/>
      <c r="AP20" s="26"/>
    </row>
    <row r="21" spans="1:42" x14ac:dyDescent="0.3">
      <c r="A21" s="7" t="s">
        <v>6</v>
      </c>
      <c r="B21" s="5">
        <f>SUM(B22:B24)</f>
        <v>450</v>
      </c>
      <c r="C21" s="25">
        <f t="shared" ref="C21:I21" si="15">SUM(C22:C24)</f>
        <v>441.5</v>
      </c>
      <c r="D21" s="5">
        <f>SUM(D22:D24)</f>
        <v>0</v>
      </c>
      <c r="E21" s="25">
        <f t="shared" si="15"/>
        <v>1096.3</v>
      </c>
      <c r="F21" s="5">
        <f>SUM(F22:F24)</f>
        <v>2500</v>
      </c>
      <c r="G21" s="25">
        <f t="shared" si="15"/>
        <v>236</v>
      </c>
      <c r="H21" s="5">
        <f t="shared" si="15"/>
        <v>30000</v>
      </c>
      <c r="I21" s="5">
        <f t="shared" si="15"/>
        <v>12600</v>
      </c>
      <c r="J21" s="3">
        <f>SUM(B21,D21,F21,H21)</f>
        <v>32950</v>
      </c>
      <c r="K21" s="3">
        <f>SUM(C21,E21,G21,I21)</f>
        <v>14373.8</v>
      </c>
      <c r="L21" s="4"/>
      <c r="Q21" s="25">
        <f>SUM(Q22:Q24)</f>
        <v>0</v>
      </c>
      <c r="R21" s="25">
        <f t="shared" ref="R21:T21" si="16">SUM(R22:R24)</f>
        <v>0</v>
      </c>
      <c r="S21" s="25">
        <f>SUM(S22:S24)</f>
        <v>0</v>
      </c>
      <c r="T21" s="25">
        <f t="shared" si="16"/>
        <v>0</v>
      </c>
      <c r="U21" s="5">
        <f>SUM(U22:U24)</f>
        <v>0</v>
      </c>
      <c r="V21" s="25">
        <f t="shared" ref="V21:X21" si="17">SUM(V22:V24)</f>
        <v>0</v>
      </c>
      <c r="W21" s="5">
        <f>SUM(W22:W24)</f>
        <v>0</v>
      </c>
      <c r="X21" s="25">
        <f t="shared" si="17"/>
        <v>0</v>
      </c>
      <c r="Y21" s="5">
        <f>SUM(Y22:Y24)</f>
        <v>150000</v>
      </c>
      <c r="Z21" s="25">
        <f t="shared" ref="Z21:AB21" si="18">SUM(Z22:Z24)</f>
        <v>0</v>
      </c>
      <c r="AA21" s="5">
        <f>SUM(AA22:AA24)</f>
        <v>0</v>
      </c>
      <c r="AB21" s="25">
        <f t="shared" si="18"/>
        <v>0</v>
      </c>
      <c r="AC21" s="5">
        <f>SUM(AC22:AC24)</f>
        <v>0</v>
      </c>
      <c r="AD21" s="25">
        <f t="shared" ref="AD21:AF21" si="19">SUM(AD22:AD24)</f>
        <v>0</v>
      </c>
      <c r="AE21" s="5">
        <f>SUM(AE22:AE24)</f>
        <v>0</v>
      </c>
      <c r="AF21" s="25">
        <f t="shared" si="19"/>
        <v>0</v>
      </c>
      <c r="AG21" s="5">
        <f>SUM(AG22:AG24)</f>
        <v>0</v>
      </c>
      <c r="AH21" s="25">
        <f t="shared" ref="AH21" si="20">SUM(AH22:AH24)</f>
        <v>0</v>
      </c>
      <c r="AI21" s="5">
        <f>SUM(AI22:AI24)</f>
        <v>0</v>
      </c>
      <c r="AJ21" s="5">
        <f t="shared" ref="AJ21" si="21">SUM(AJ22:AJ24)</f>
        <v>0</v>
      </c>
      <c r="AK21" s="5">
        <f>SUM(AK22:AK24)</f>
        <v>0</v>
      </c>
      <c r="AL21" s="5">
        <f t="shared" ref="AL21:AN21" si="22">SUM(AL22:AL24)</f>
        <v>0</v>
      </c>
      <c r="AM21" s="5">
        <f t="shared" si="22"/>
        <v>15000</v>
      </c>
      <c r="AN21" s="5">
        <f t="shared" si="22"/>
        <v>0</v>
      </c>
      <c r="AO21" s="25">
        <f>SUM(AM21,AK21,AI21,AG21,AE21,AC21,AA21,Y21,W21,U21,S21,Q21)</f>
        <v>165000</v>
      </c>
      <c r="AP21" s="25">
        <f>SUM(AN21,AL21,AJ21,AH21,AF21,AD21,AB21,Z21,X21,V21,T21,R21)</f>
        <v>0</v>
      </c>
    </row>
    <row r="22" spans="1:42" x14ac:dyDescent="0.3">
      <c r="A22" s="6" t="s">
        <v>9</v>
      </c>
      <c r="B22" s="3"/>
      <c r="C22" s="24"/>
      <c r="D22" s="3"/>
      <c r="E22" s="24"/>
      <c r="F22" s="3"/>
      <c r="G22" s="24"/>
      <c r="H22" s="3">
        <v>30000</v>
      </c>
      <c r="I22" s="3">
        <v>12600</v>
      </c>
      <c r="J22" s="3">
        <f>SUM(B22,D22,F22,H22)</f>
        <v>30000</v>
      </c>
      <c r="K22" s="3">
        <f>SUM(C22,E22,G22,I22)</f>
        <v>12600</v>
      </c>
      <c r="Q22" s="24"/>
      <c r="R22" s="24"/>
      <c r="S22" s="24"/>
      <c r="T22" s="24"/>
      <c r="U22" s="3"/>
      <c r="V22" s="24"/>
      <c r="W22" s="3"/>
      <c r="X22" s="24"/>
      <c r="Y22" s="3">
        <v>150000</v>
      </c>
      <c r="Z22" s="24"/>
      <c r="AA22" s="3"/>
      <c r="AB22" s="24"/>
      <c r="AC22" s="3"/>
      <c r="AD22" s="24"/>
      <c r="AE22" s="3"/>
      <c r="AF22" s="24"/>
      <c r="AG22" s="3"/>
      <c r="AH22" s="24"/>
      <c r="AI22" s="3"/>
      <c r="AJ22" s="3"/>
      <c r="AK22" s="3"/>
      <c r="AL22" s="3"/>
      <c r="AM22" s="3">
        <v>15000</v>
      </c>
      <c r="AN22" s="3"/>
      <c r="AO22" s="24">
        <f t="shared" ref="AO22:AP22" si="23">SUM(AM22,AK22,AI22,AG22,AE22,AC22,AA22,Y22,W22,U22,S22,Q22)</f>
        <v>165000</v>
      </c>
      <c r="AP22" s="24">
        <f t="shared" si="23"/>
        <v>0</v>
      </c>
    </row>
    <row r="23" spans="1:42" x14ac:dyDescent="0.3">
      <c r="A23" s="6" t="s">
        <v>13</v>
      </c>
      <c r="B23" s="3"/>
      <c r="C23" s="24"/>
      <c r="D23" s="3"/>
      <c r="E23" s="24"/>
      <c r="F23" s="3"/>
      <c r="G23" s="24">
        <v>236</v>
      </c>
      <c r="H23" s="3"/>
      <c r="I23" s="3"/>
      <c r="J23" s="3"/>
      <c r="K23" s="3"/>
      <c r="Q23" s="24"/>
      <c r="R23" s="24"/>
      <c r="S23" s="24"/>
      <c r="T23" s="24"/>
      <c r="U23" s="3"/>
      <c r="V23" s="24"/>
      <c r="W23" s="3"/>
      <c r="X23" s="24"/>
      <c r="Y23" s="3"/>
      <c r="Z23" s="24"/>
      <c r="AA23" s="3"/>
      <c r="AB23" s="24"/>
      <c r="AC23" s="3"/>
      <c r="AD23" s="24"/>
      <c r="AE23" s="3"/>
      <c r="AF23" s="24"/>
      <c r="AG23" s="3"/>
      <c r="AH23" s="24"/>
      <c r="AI23" s="3"/>
      <c r="AJ23" s="3"/>
      <c r="AK23" s="3"/>
      <c r="AL23" s="3"/>
      <c r="AM23" s="3"/>
      <c r="AN23" s="3"/>
      <c r="AP23" s="26"/>
    </row>
    <row r="24" spans="1:42" x14ac:dyDescent="0.3">
      <c r="A24" s="6" t="s">
        <v>16</v>
      </c>
      <c r="B24" s="3">
        <v>450</v>
      </c>
      <c r="C24" s="24">
        <v>441.5</v>
      </c>
      <c r="E24" s="24">
        <v>1096.3</v>
      </c>
      <c r="F24" s="3">
        <v>2500</v>
      </c>
      <c r="G24" s="24"/>
      <c r="H24" s="3"/>
      <c r="I24" s="3"/>
      <c r="J24" s="3"/>
      <c r="K24" s="3"/>
      <c r="Q24" s="24"/>
      <c r="R24" s="24"/>
      <c r="S24" s="24"/>
      <c r="T24" s="24"/>
      <c r="U24" s="3"/>
      <c r="V24" s="24"/>
      <c r="W24" s="3"/>
      <c r="X24" s="24"/>
      <c r="Y24" s="3"/>
      <c r="Z24" s="24"/>
      <c r="AA24" s="3"/>
      <c r="AB24" s="24"/>
      <c r="AC24" s="3"/>
      <c r="AD24" s="24"/>
      <c r="AE24" s="3"/>
      <c r="AF24" s="24"/>
      <c r="AG24" s="3"/>
      <c r="AH24" s="24"/>
      <c r="AJ24" s="3"/>
      <c r="AK24" s="3"/>
      <c r="AL24" s="3"/>
      <c r="AM24" s="3"/>
      <c r="AN24" s="3"/>
      <c r="AP24" s="26"/>
    </row>
    <row r="25" spans="1:42" x14ac:dyDescent="0.3">
      <c r="B25" s="3"/>
      <c r="C25" s="24"/>
      <c r="D25" s="3"/>
      <c r="E25" s="24"/>
      <c r="F25" s="3"/>
      <c r="G25" s="24"/>
      <c r="H25" s="3"/>
      <c r="I25" s="3"/>
      <c r="J25" s="3"/>
      <c r="K25" s="3"/>
      <c r="Q25" s="24"/>
      <c r="R25" s="24"/>
      <c r="S25" s="24"/>
      <c r="T25" s="24"/>
      <c r="U25" s="3"/>
      <c r="V25" s="24"/>
      <c r="W25" s="3"/>
      <c r="X25" s="24"/>
      <c r="Y25" s="3"/>
      <c r="Z25" s="24"/>
      <c r="AA25" s="3"/>
      <c r="AB25" s="24"/>
      <c r="AC25" s="3"/>
      <c r="AD25" s="24"/>
      <c r="AE25" s="3"/>
      <c r="AF25" s="24"/>
      <c r="AG25" s="3"/>
      <c r="AH25" s="24"/>
      <c r="AI25" s="3"/>
      <c r="AJ25" s="3"/>
      <c r="AK25" s="3"/>
      <c r="AL25" s="3"/>
      <c r="AM25" s="3"/>
      <c r="AN25" s="3"/>
      <c r="AP25" s="26"/>
    </row>
    <row r="26" spans="1:42" s="4" customFormat="1" x14ac:dyDescent="0.3">
      <c r="A26" s="7" t="s">
        <v>8</v>
      </c>
      <c r="B26" s="5">
        <f t="shared" ref="B26:I26" si="24">SUM(B27:B28)</f>
        <v>0</v>
      </c>
      <c r="C26" s="25">
        <f t="shared" si="24"/>
        <v>0</v>
      </c>
      <c r="D26" s="5">
        <f t="shared" si="24"/>
        <v>304</v>
      </c>
      <c r="E26" s="25">
        <f t="shared" si="24"/>
        <v>3722</v>
      </c>
      <c r="F26" s="5">
        <f>SUM(F27:F28)</f>
        <v>7200</v>
      </c>
      <c r="G26" s="25">
        <f t="shared" si="24"/>
        <v>6822</v>
      </c>
      <c r="H26" s="5">
        <f t="shared" si="24"/>
        <v>0</v>
      </c>
      <c r="I26" s="5">
        <f t="shared" si="24"/>
        <v>0</v>
      </c>
      <c r="J26" s="3">
        <f t="shared" ref="J26:J28" si="25">SUM(B26,D26,F26,H26)</f>
        <v>7504</v>
      </c>
      <c r="K26" s="3">
        <f t="shared" ref="K26:K28" si="26">SUM(C26,E26,G26,I26)</f>
        <v>10544</v>
      </c>
      <c r="Q26" s="25">
        <f>SUM(Q27:Q29)</f>
        <v>0</v>
      </c>
      <c r="R26" s="25">
        <f t="shared" ref="R26:AN26" si="27">SUM(R27:R29)</f>
        <v>0</v>
      </c>
      <c r="S26" s="25">
        <f t="shared" si="27"/>
        <v>0</v>
      </c>
      <c r="T26" s="25">
        <f t="shared" si="27"/>
        <v>0</v>
      </c>
      <c r="U26" s="5">
        <f t="shared" si="27"/>
        <v>115000</v>
      </c>
      <c r="V26" s="5">
        <f t="shared" si="27"/>
        <v>0</v>
      </c>
      <c r="W26" s="5">
        <f t="shared" si="27"/>
        <v>5800</v>
      </c>
      <c r="X26" s="5">
        <f t="shared" si="27"/>
        <v>0</v>
      </c>
      <c r="Y26" s="5">
        <f t="shared" si="27"/>
        <v>70800</v>
      </c>
      <c r="Z26" s="5">
        <f t="shared" si="27"/>
        <v>0</v>
      </c>
      <c r="AA26" s="5">
        <f t="shared" si="27"/>
        <v>0</v>
      </c>
      <c r="AB26" s="5">
        <f t="shared" si="27"/>
        <v>0</v>
      </c>
      <c r="AC26" s="5">
        <f t="shared" si="27"/>
        <v>0</v>
      </c>
      <c r="AD26" s="5">
        <f t="shared" si="27"/>
        <v>0</v>
      </c>
      <c r="AE26" s="5">
        <f t="shared" si="27"/>
        <v>5800</v>
      </c>
      <c r="AF26" s="5">
        <f t="shared" si="27"/>
        <v>0</v>
      </c>
      <c r="AG26" s="5">
        <f t="shared" si="27"/>
        <v>5800</v>
      </c>
      <c r="AH26" s="5">
        <f t="shared" si="27"/>
        <v>0</v>
      </c>
      <c r="AI26" s="5">
        <f t="shared" si="27"/>
        <v>5800</v>
      </c>
      <c r="AJ26" s="5">
        <f t="shared" si="27"/>
        <v>0</v>
      </c>
      <c r="AK26" s="5">
        <f t="shared" si="27"/>
        <v>5800</v>
      </c>
      <c r="AL26" s="5">
        <f t="shared" si="27"/>
        <v>0</v>
      </c>
      <c r="AM26" s="5">
        <f t="shared" si="27"/>
        <v>5800</v>
      </c>
      <c r="AN26" s="5">
        <f t="shared" si="27"/>
        <v>0</v>
      </c>
      <c r="AO26" s="25">
        <f>SUM(AM26,AK26,AI26,AG26,AE26,AC26,AA26,Y26,W26,U26,S26,Q26)</f>
        <v>220600</v>
      </c>
      <c r="AP26" s="25">
        <f>SUM(AN26,AL26,AJ26,AH26,AF26,AD26,AB26,Z26,X26,V26,T26,R26)</f>
        <v>0</v>
      </c>
    </row>
    <row r="27" spans="1:42" x14ac:dyDescent="0.3">
      <c r="A27" s="6" t="s">
        <v>17</v>
      </c>
      <c r="C27" s="24"/>
      <c r="D27" s="3"/>
      <c r="E27" s="24">
        <v>1622</v>
      </c>
      <c r="F27" s="3"/>
      <c r="G27" s="24">
        <v>3955</v>
      </c>
      <c r="H27" s="3"/>
      <c r="I27" s="3"/>
      <c r="J27" s="3">
        <f t="shared" si="25"/>
        <v>0</v>
      </c>
      <c r="K27" s="3">
        <f t="shared" si="26"/>
        <v>5577</v>
      </c>
      <c r="R27" s="24"/>
      <c r="S27" s="24"/>
      <c r="T27" s="24"/>
      <c r="U27" s="3"/>
      <c r="V27" s="24"/>
      <c r="W27" s="3">
        <f>58000/10</f>
        <v>5800</v>
      </c>
      <c r="X27" s="24"/>
      <c r="Y27" s="3">
        <f>58000/10</f>
        <v>5800</v>
      </c>
      <c r="Z27" s="24"/>
      <c r="AA27" s="3"/>
      <c r="AB27" s="24"/>
      <c r="AC27" s="3"/>
      <c r="AD27" s="24"/>
      <c r="AE27" s="3">
        <f>58000/10</f>
        <v>5800</v>
      </c>
      <c r="AF27" s="24"/>
      <c r="AG27" s="3">
        <f>58000/10</f>
        <v>5800</v>
      </c>
      <c r="AH27" s="24"/>
      <c r="AI27" s="3">
        <f>58000/10</f>
        <v>5800</v>
      </c>
      <c r="AJ27" s="3"/>
      <c r="AK27" s="3">
        <f>58000/10</f>
        <v>5800</v>
      </c>
      <c r="AL27" s="3"/>
      <c r="AM27" s="3">
        <f>58000/10</f>
        <v>5800</v>
      </c>
      <c r="AN27" s="3"/>
      <c r="AO27" s="24">
        <f t="shared" ref="AO27:AP29" si="28">SUM(AM27,AK27,AI27,AG27,AE27,AC27,AA27,Y27,W27,U27,S27,Q27)</f>
        <v>40600</v>
      </c>
      <c r="AP27" s="24">
        <f t="shared" si="28"/>
        <v>0</v>
      </c>
    </row>
    <row r="28" spans="1:42" x14ac:dyDescent="0.3">
      <c r="A28" s="6" t="s">
        <v>18</v>
      </c>
      <c r="B28" s="3"/>
      <c r="C28" s="24"/>
      <c r="D28" s="1">
        <v>304</v>
      </c>
      <c r="E28" s="24">
        <v>2100</v>
      </c>
      <c r="F28" s="3">
        <f>SUM(60*120)</f>
        <v>7200</v>
      </c>
      <c r="G28" s="24">
        <v>2867</v>
      </c>
      <c r="H28" s="3"/>
      <c r="I28" s="3"/>
      <c r="J28" s="3">
        <f t="shared" si="25"/>
        <v>7504</v>
      </c>
      <c r="K28" s="3">
        <f t="shared" si="26"/>
        <v>4967</v>
      </c>
      <c r="Q28" s="24"/>
      <c r="R28" s="24"/>
      <c r="S28" s="24"/>
      <c r="T28" s="24"/>
      <c r="U28" s="3"/>
      <c r="V28" s="24"/>
      <c r="W28" s="3"/>
      <c r="X28" s="24"/>
      <c r="Y28" s="3"/>
      <c r="Z28" s="24"/>
      <c r="AA28" s="3"/>
      <c r="AB28" s="24"/>
      <c r="AC28" s="3"/>
      <c r="AD28" s="24"/>
      <c r="AE28" s="3"/>
      <c r="AF28" s="24"/>
      <c r="AG28" s="3"/>
      <c r="AH28" s="24"/>
      <c r="AJ28" s="3"/>
      <c r="AK28" s="3"/>
      <c r="AL28" s="3"/>
      <c r="AM28" s="3"/>
      <c r="AN28" s="3"/>
      <c r="AO28" s="24">
        <f t="shared" si="28"/>
        <v>0</v>
      </c>
      <c r="AP28" s="24">
        <f t="shared" si="28"/>
        <v>0</v>
      </c>
    </row>
    <row r="29" spans="1:42" x14ac:dyDescent="0.3">
      <c r="A29" s="6" t="s">
        <v>52</v>
      </c>
      <c r="B29" s="3"/>
      <c r="C29" s="24"/>
      <c r="E29" s="24"/>
      <c r="F29" s="3"/>
      <c r="G29" s="24"/>
      <c r="H29" s="3"/>
      <c r="I29" s="3"/>
      <c r="J29" s="3"/>
      <c r="K29" s="3"/>
      <c r="Q29" s="24"/>
      <c r="R29" s="24"/>
      <c r="S29" s="24"/>
      <c r="T29" s="24"/>
      <c r="U29" s="3">
        <v>115000</v>
      </c>
      <c r="V29" s="24"/>
      <c r="W29" s="3"/>
      <c r="X29" s="24"/>
      <c r="Y29" s="3">
        <v>65000</v>
      </c>
      <c r="Z29" s="24"/>
      <c r="AA29" s="3"/>
      <c r="AB29" s="24"/>
      <c r="AC29" s="3"/>
      <c r="AD29" s="24"/>
      <c r="AE29" s="3"/>
      <c r="AF29" s="24"/>
      <c r="AG29" s="3"/>
      <c r="AH29" s="24"/>
      <c r="AJ29" s="3"/>
      <c r="AK29" s="3"/>
      <c r="AL29" s="3"/>
      <c r="AM29" s="3"/>
      <c r="AN29" s="3"/>
      <c r="AO29" s="24">
        <f t="shared" si="28"/>
        <v>180000</v>
      </c>
      <c r="AP29" s="24">
        <f t="shared" si="28"/>
        <v>0</v>
      </c>
    </row>
    <row r="30" spans="1:42" x14ac:dyDescent="0.3">
      <c r="B30" s="3"/>
      <c r="C30" s="24"/>
      <c r="D30" s="3"/>
      <c r="E30" s="24"/>
      <c r="F30" s="3"/>
      <c r="G30" s="24"/>
      <c r="H30" s="3"/>
      <c r="I30" s="3"/>
      <c r="J30" s="3"/>
      <c r="K30" s="3"/>
      <c r="Q30" s="24"/>
      <c r="R30" s="24"/>
      <c r="S30" s="24"/>
      <c r="T30" s="24"/>
      <c r="U30" s="3"/>
      <c r="V30" s="24"/>
      <c r="W30" s="3"/>
      <c r="X30" s="24"/>
      <c r="Y30" s="3"/>
      <c r="Z30" s="24"/>
      <c r="AA30" s="3"/>
      <c r="AB30" s="24"/>
      <c r="AC30" s="3"/>
      <c r="AD30" s="24"/>
      <c r="AE30" s="3"/>
      <c r="AF30" s="24"/>
      <c r="AG30" s="3"/>
      <c r="AH30" s="24"/>
      <c r="AI30" s="3"/>
      <c r="AJ30" s="3"/>
      <c r="AK30" s="3"/>
      <c r="AL30" s="3"/>
      <c r="AM30" s="3"/>
      <c r="AN30" s="3"/>
      <c r="AP30" s="26"/>
    </row>
    <row r="31" spans="1:42" s="4" customFormat="1" x14ac:dyDescent="0.3">
      <c r="A31" s="7" t="s">
        <v>10</v>
      </c>
      <c r="B31" s="5">
        <f>SUM(B32:B37)</f>
        <v>6500</v>
      </c>
      <c r="C31" s="25">
        <f>SUM(C32:C38)</f>
        <v>6784.9</v>
      </c>
      <c r="D31" s="25">
        <f t="shared" ref="D31:K31" si="29">SUM(D32:D38)</f>
        <v>275</v>
      </c>
      <c r="E31" s="25">
        <f t="shared" si="29"/>
        <v>424.62</v>
      </c>
      <c r="F31" s="25">
        <f t="shared" si="29"/>
        <v>230.5</v>
      </c>
      <c r="G31" s="25">
        <f t="shared" si="29"/>
        <v>378.23</v>
      </c>
      <c r="H31" s="25">
        <f t="shared" si="29"/>
        <v>4775.5</v>
      </c>
      <c r="I31" s="25">
        <f t="shared" si="29"/>
        <v>185.66</v>
      </c>
      <c r="J31" s="25">
        <f t="shared" si="29"/>
        <v>11781</v>
      </c>
      <c r="K31" s="25">
        <f t="shared" si="29"/>
        <v>7773.41</v>
      </c>
      <c r="Q31" s="25">
        <f t="shared" ref="Q31:AB31" si="30">SUM(Q32:Q38)</f>
        <v>51000</v>
      </c>
      <c r="R31" s="25">
        <f t="shared" si="30"/>
        <v>52087.37</v>
      </c>
      <c r="S31" s="25">
        <f t="shared" si="30"/>
        <v>50450</v>
      </c>
      <c r="T31" s="25">
        <f t="shared" si="30"/>
        <v>51697.39</v>
      </c>
      <c r="U31" s="5">
        <f>SUM(U32:U38)</f>
        <v>71500</v>
      </c>
      <c r="V31" s="5">
        <f t="shared" si="30"/>
        <v>0</v>
      </c>
      <c r="W31" s="5">
        <f t="shared" si="30"/>
        <v>67873.333333333343</v>
      </c>
      <c r="X31" s="5">
        <f t="shared" si="30"/>
        <v>0</v>
      </c>
      <c r="Y31" s="5">
        <f t="shared" si="30"/>
        <v>75265.600000000006</v>
      </c>
      <c r="Z31" s="5">
        <f t="shared" si="30"/>
        <v>0</v>
      </c>
      <c r="AA31" s="5">
        <f t="shared" si="30"/>
        <v>73322.7</v>
      </c>
      <c r="AB31" s="5">
        <f t="shared" si="30"/>
        <v>0</v>
      </c>
      <c r="AC31" s="5">
        <f>SUM(AC32:AC38)</f>
        <v>104364.72</v>
      </c>
      <c r="AD31" s="5">
        <f t="shared" ref="AD31:AN31" si="31">SUM(AD32:AD38)</f>
        <v>0</v>
      </c>
      <c r="AE31" s="5">
        <f t="shared" si="31"/>
        <v>115603.6</v>
      </c>
      <c r="AF31" s="5">
        <f t="shared" si="31"/>
        <v>0</v>
      </c>
      <c r="AG31" s="5">
        <f t="shared" si="31"/>
        <v>112212.13333333333</v>
      </c>
      <c r="AH31" s="5">
        <f t="shared" si="31"/>
        <v>0</v>
      </c>
      <c r="AI31" s="5">
        <f t="shared" si="31"/>
        <v>121124.6</v>
      </c>
      <c r="AJ31" s="5">
        <f t="shared" si="31"/>
        <v>0</v>
      </c>
      <c r="AK31" s="5">
        <f t="shared" si="31"/>
        <v>117306.03076923077</v>
      </c>
      <c r="AL31" s="5">
        <f t="shared" si="31"/>
        <v>0</v>
      </c>
      <c r="AM31" s="5">
        <f t="shared" si="31"/>
        <v>119890</v>
      </c>
      <c r="AN31" s="5">
        <f t="shared" si="31"/>
        <v>0</v>
      </c>
      <c r="AO31" s="25">
        <f>SUM(AM31,AK31,AI31,AG31,AE31,AC31,AA31,Y31,W31,U31,S31,Q31)</f>
        <v>1079912.7174358973</v>
      </c>
      <c r="AP31" s="25">
        <f>SUM(AN31,AL31,AJ31,AH31,AF31,AD31,AB31,Z31,X31,V31,T31,R31)</f>
        <v>103784.76000000001</v>
      </c>
    </row>
    <row r="32" spans="1:42" x14ac:dyDescent="0.3">
      <c r="A32" s="6" t="s">
        <v>53</v>
      </c>
      <c r="B32" s="3">
        <v>300</v>
      </c>
      <c r="C32" s="24">
        <v>300</v>
      </c>
      <c r="D32" s="3"/>
      <c r="E32" s="24"/>
      <c r="F32" s="3"/>
      <c r="G32" s="24"/>
      <c r="H32" s="3"/>
      <c r="I32" s="3"/>
      <c r="J32" s="3">
        <f t="shared" ref="J32:K37" si="32">SUM(B32,D32,F32,H32)</f>
        <v>300</v>
      </c>
      <c r="K32" s="3">
        <f t="shared" si="32"/>
        <v>300</v>
      </c>
      <c r="Q32" s="24"/>
      <c r="R32" s="24"/>
      <c r="S32" s="24"/>
      <c r="T32" s="24"/>
      <c r="U32" s="3">
        <v>6000</v>
      </c>
      <c r="V32" s="24"/>
      <c r="W32" s="3"/>
      <c r="X32" s="24"/>
      <c r="Y32" s="3">
        <v>6000</v>
      </c>
      <c r="Z32" s="24"/>
      <c r="AA32" s="3"/>
      <c r="AB32" s="24"/>
      <c r="AC32" s="3"/>
      <c r="AD32" s="24"/>
      <c r="AE32" s="3">
        <v>6000</v>
      </c>
      <c r="AF32" s="24"/>
      <c r="AG32" s="3"/>
      <c r="AH32" s="24"/>
      <c r="AI32" s="3">
        <v>6000</v>
      </c>
      <c r="AJ32" s="3"/>
      <c r="AK32" s="3"/>
      <c r="AL32" s="3"/>
      <c r="AM32" s="3"/>
      <c r="AN32" s="3"/>
      <c r="AO32" s="24">
        <f t="shared" ref="AO32:AP38" si="33">SUM(AM32,AK32,AI32,AG32,AE32,AC32,AA32,Y32,W32,U32,S32,Q32)</f>
        <v>24000</v>
      </c>
      <c r="AP32" s="24">
        <f t="shared" si="33"/>
        <v>0</v>
      </c>
    </row>
    <row r="33" spans="1:43" x14ac:dyDescent="0.3">
      <c r="A33" s="6" t="s">
        <v>21</v>
      </c>
      <c r="B33" s="3">
        <v>6000</v>
      </c>
      <c r="C33" s="24">
        <v>6000</v>
      </c>
      <c r="D33" s="3"/>
      <c r="E33" s="24"/>
      <c r="F33" s="3"/>
      <c r="G33" s="24"/>
      <c r="H33" s="3"/>
      <c r="I33" s="3"/>
      <c r="J33" s="3">
        <f t="shared" si="32"/>
        <v>6000</v>
      </c>
      <c r="K33" s="3">
        <f t="shared" si="32"/>
        <v>6000</v>
      </c>
      <c r="Q33" s="24"/>
      <c r="R33" s="24"/>
      <c r="S33" s="24"/>
      <c r="T33" s="24"/>
      <c r="U33" s="3"/>
      <c r="V33" s="24"/>
      <c r="W33" s="3"/>
      <c r="X33" s="24"/>
      <c r="Y33" s="3"/>
      <c r="Z33" s="24"/>
      <c r="AA33" s="3"/>
      <c r="AB33" s="24"/>
      <c r="AC33" s="3"/>
      <c r="AD33" s="24"/>
      <c r="AE33" s="3"/>
      <c r="AF33" s="24"/>
      <c r="AG33" s="3"/>
      <c r="AH33" s="24"/>
      <c r="AI33" s="3"/>
      <c r="AJ33" s="3"/>
      <c r="AK33" s="3"/>
      <c r="AL33" s="3"/>
      <c r="AM33" s="3"/>
      <c r="AN33" s="3"/>
      <c r="AO33" s="24">
        <f t="shared" si="33"/>
        <v>0</v>
      </c>
      <c r="AP33" s="24">
        <f t="shared" si="33"/>
        <v>0</v>
      </c>
    </row>
    <row r="34" spans="1:43" x14ac:dyDescent="0.3">
      <c r="A34" s="6" t="s">
        <v>54</v>
      </c>
      <c r="B34" s="3"/>
      <c r="C34" s="24"/>
      <c r="D34" s="3">
        <v>175</v>
      </c>
      <c r="E34" s="24"/>
      <c r="F34" s="3">
        <v>130.5</v>
      </c>
      <c r="G34" s="24"/>
      <c r="H34" s="3">
        <v>175.5</v>
      </c>
      <c r="I34" s="3">
        <f>46.88+8.28+130.5</f>
        <v>185.66</v>
      </c>
      <c r="J34" s="3">
        <f t="shared" si="32"/>
        <v>481</v>
      </c>
      <c r="K34" s="3">
        <f t="shared" si="32"/>
        <v>185.66</v>
      </c>
      <c r="Q34" s="24">
        <v>500</v>
      </c>
      <c r="R34" s="24">
        <v>791.59</v>
      </c>
      <c r="S34" s="24">
        <v>450</v>
      </c>
      <c r="T34" s="24">
        <v>524.99</v>
      </c>
      <c r="U34" s="3">
        <v>2000</v>
      </c>
      <c r="V34" s="24"/>
      <c r="W34" s="3">
        <v>2500</v>
      </c>
      <c r="X34" s="24"/>
      <c r="Y34" s="3">
        <v>3000</v>
      </c>
      <c r="Z34" s="24"/>
      <c r="AA34" s="3">
        <v>6050</v>
      </c>
      <c r="AB34" s="3"/>
      <c r="AC34" s="3">
        <v>6050</v>
      </c>
      <c r="AD34" s="3"/>
      <c r="AE34" s="3">
        <v>10000</v>
      </c>
      <c r="AF34" s="3"/>
      <c r="AG34" s="3">
        <v>10000</v>
      </c>
      <c r="AH34" s="24"/>
      <c r="AI34" s="3">
        <v>10000</v>
      </c>
      <c r="AJ34" s="3"/>
      <c r="AK34" s="3">
        <v>10000</v>
      </c>
      <c r="AL34" s="3"/>
      <c r="AM34" s="3">
        <v>10000</v>
      </c>
      <c r="AN34" s="3"/>
      <c r="AO34" s="24">
        <f t="shared" si="33"/>
        <v>70550</v>
      </c>
      <c r="AP34" s="24">
        <f t="shared" si="33"/>
        <v>1316.58</v>
      </c>
    </row>
    <row r="35" spans="1:43" x14ac:dyDescent="0.3">
      <c r="A35" s="6" t="s">
        <v>22</v>
      </c>
      <c r="B35" s="3"/>
      <c r="C35" s="24"/>
      <c r="D35" s="3"/>
      <c r="E35" s="24"/>
      <c r="F35" s="3"/>
      <c r="G35" s="24"/>
      <c r="H35" s="3">
        <v>0</v>
      </c>
      <c r="I35" s="3"/>
      <c r="J35" s="3">
        <f t="shared" si="32"/>
        <v>0</v>
      </c>
      <c r="K35" s="3">
        <f t="shared" si="32"/>
        <v>0</v>
      </c>
      <c r="Q35" s="24">
        <v>500</v>
      </c>
      <c r="R35" s="24">
        <v>0</v>
      </c>
      <c r="S35" s="24"/>
      <c r="T35" s="24"/>
      <c r="U35" s="3">
        <v>2000</v>
      </c>
      <c r="V35" s="24"/>
      <c r="W35" s="44">
        <v>3873.3333333333335</v>
      </c>
      <c r="X35" s="24"/>
      <c r="Y35" s="44">
        <v>4765.6000000000004</v>
      </c>
      <c r="Z35" s="24"/>
      <c r="AA35" s="3">
        <v>5772.7000000000007</v>
      </c>
      <c r="AB35" s="24"/>
      <c r="AC35" s="3">
        <v>6814.7199999999993</v>
      </c>
      <c r="AD35" s="24"/>
      <c r="AE35" s="3">
        <v>8103.6000000000013</v>
      </c>
      <c r="AF35" s="24"/>
      <c r="AG35" s="3">
        <v>10712.133333333333</v>
      </c>
      <c r="AH35" s="24"/>
      <c r="AI35" s="3">
        <v>13624.6</v>
      </c>
      <c r="AJ35" s="3"/>
      <c r="AK35" s="3">
        <v>15806.030769230771</v>
      </c>
      <c r="AL35" s="3"/>
      <c r="AM35" s="3">
        <v>18390</v>
      </c>
      <c r="AN35" s="3"/>
      <c r="AO35" s="24">
        <f t="shared" si="33"/>
        <v>90362.71743589743</v>
      </c>
      <c r="AP35" s="24">
        <f t="shared" si="33"/>
        <v>0</v>
      </c>
    </row>
    <row r="36" spans="1:43" x14ac:dyDescent="0.3">
      <c r="A36" s="6" t="s">
        <v>25</v>
      </c>
      <c r="B36" s="3">
        <v>200</v>
      </c>
      <c r="C36" s="24">
        <v>484.9</v>
      </c>
      <c r="D36" s="3">
        <v>100</v>
      </c>
      <c r="E36" s="24">
        <v>424.62</v>
      </c>
      <c r="F36" s="3">
        <v>100</v>
      </c>
      <c r="G36" s="24">
        <v>378.23</v>
      </c>
      <c r="H36" s="3">
        <v>100</v>
      </c>
      <c r="I36" s="3"/>
      <c r="J36" s="3">
        <f t="shared" si="32"/>
        <v>500</v>
      </c>
      <c r="K36" s="3">
        <f t="shared" si="32"/>
        <v>1287.75</v>
      </c>
      <c r="Q36" s="24"/>
      <c r="R36" s="24">
        <v>1295.78</v>
      </c>
      <c r="S36" s="24"/>
      <c r="T36" s="24">
        <v>1172.4000000000001</v>
      </c>
      <c r="U36" s="3">
        <v>1500</v>
      </c>
      <c r="V36" s="24"/>
      <c r="W36" s="3">
        <v>1500</v>
      </c>
      <c r="X36" s="24"/>
      <c r="Y36" s="3">
        <v>1500</v>
      </c>
      <c r="Z36" s="24"/>
      <c r="AA36" s="3">
        <v>1500</v>
      </c>
      <c r="AB36" s="24"/>
      <c r="AC36" s="3">
        <v>1500</v>
      </c>
      <c r="AD36" s="24"/>
      <c r="AE36" s="3">
        <v>1500</v>
      </c>
      <c r="AF36" s="24"/>
      <c r="AG36" s="3">
        <v>1500</v>
      </c>
      <c r="AH36" s="24"/>
      <c r="AI36" s="3">
        <v>1500</v>
      </c>
      <c r="AJ36" s="3"/>
      <c r="AK36" s="3">
        <v>1500</v>
      </c>
      <c r="AL36" s="3"/>
      <c r="AM36" s="3">
        <v>1500</v>
      </c>
      <c r="AN36" s="3"/>
      <c r="AO36" s="24">
        <f t="shared" si="33"/>
        <v>15000</v>
      </c>
      <c r="AP36" s="24">
        <f t="shared" si="33"/>
        <v>2468.1800000000003</v>
      </c>
    </row>
    <row r="37" spans="1:43" x14ac:dyDescent="0.3">
      <c r="A37" s="6" t="s">
        <v>23</v>
      </c>
      <c r="B37" s="3"/>
      <c r="C37" s="24"/>
      <c r="D37" s="3"/>
      <c r="E37" s="24"/>
      <c r="F37" s="3"/>
      <c r="G37" s="24"/>
      <c r="H37" s="3">
        <v>4500</v>
      </c>
      <c r="I37" s="3"/>
      <c r="J37" s="3">
        <f t="shared" si="32"/>
        <v>4500</v>
      </c>
      <c r="K37" s="3">
        <f t="shared" si="32"/>
        <v>0</v>
      </c>
      <c r="Q37" s="24"/>
      <c r="R37" s="24"/>
      <c r="S37" s="24"/>
      <c r="T37" s="24"/>
      <c r="U37" s="3">
        <v>10000</v>
      </c>
      <c r="V37" s="24"/>
      <c r="W37" s="3">
        <v>10000</v>
      </c>
      <c r="X37" s="24"/>
      <c r="Y37" s="3">
        <v>10000</v>
      </c>
      <c r="Z37" s="24"/>
      <c r="AA37" s="3">
        <v>10000</v>
      </c>
      <c r="AB37" s="24"/>
      <c r="AC37" s="3"/>
      <c r="AD37" s="24"/>
      <c r="AE37" s="3"/>
      <c r="AF37" s="24"/>
      <c r="AG37" s="3"/>
      <c r="AH37" s="24"/>
      <c r="AI37" s="3"/>
      <c r="AJ37" s="3"/>
      <c r="AK37" s="3"/>
      <c r="AL37" s="3"/>
      <c r="AM37" s="3"/>
      <c r="AN37" s="3"/>
      <c r="AO37" s="24">
        <f t="shared" si="33"/>
        <v>40000</v>
      </c>
      <c r="AP37" s="24">
        <f t="shared" si="33"/>
        <v>0</v>
      </c>
    </row>
    <row r="38" spans="1:43" x14ac:dyDescent="0.3">
      <c r="A38" s="6" t="s">
        <v>55</v>
      </c>
      <c r="B38" s="3"/>
      <c r="C38" s="24"/>
      <c r="D38" s="3"/>
      <c r="E38" s="24"/>
      <c r="F38" s="3"/>
      <c r="G38" s="24"/>
      <c r="H38" s="3"/>
      <c r="I38" s="3"/>
      <c r="J38" s="3"/>
      <c r="K38" s="3"/>
      <c r="Q38" s="24">
        <v>50000</v>
      </c>
      <c r="R38" s="24">
        <v>50000</v>
      </c>
      <c r="S38" s="24">
        <v>50000</v>
      </c>
      <c r="T38" s="24">
        <v>50000</v>
      </c>
      <c r="U38" s="3">
        <v>50000</v>
      </c>
      <c r="V38" s="24"/>
      <c r="W38" s="3">
        <v>50000</v>
      </c>
      <c r="X38" s="24"/>
      <c r="Y38" s="3">
        <v>50000</v>
      </c>
      <c r="Z38" s="24"/>
      <c r="AA38" s="3">
        <v>50000</v>
      </c>
      <c r="AB38" s="24"/>
      <c r="AC38" s="3">
        <v>90000</v>
      </c>
      <c r="AD38" s="24"/>
      <c r="AE38" s="3">
        <v>90000</v>
      </c>
      <c r="AF38" s="24"/>
      <c r="AG38" s="3">
        <v>90000</v>
      </c>
      <c r="AH38" s="24"/>
      <c r="AI38" s="3">
        <v>90000</v>
      </c>
      <c r="AJ38" s="3"/>
      <c r="AK38" s="3">
        <v>90000</v>
      </c>
      <c r="AL38" s="3"/>
      <c r="AM38" s="3">
        <v>90000</v>
      </c>
      <c r="AN38" s="3"/>
      <c r="AO38" s="24">
        <f t="shared" si="33"/>
        <v>840000</v>
      </c>
      <c r="AP38" s="24">
        <f t="shared" si="33"/>
        <v>100000</v>
      </c>
    </row>
    <row r="39" spans="1:43" x14ac:dyDescent="0.3">
      <c r="B39" s="3"/>
      <c r="C39" s="24"/>
      <c r="D39" s="3"/>
      <c r="E39" s="24"/>
      <c r="F39" s="3"/>
      <c r="G39" s="24"/>
      <c r="H39" s="3"/>
      <c r="I39" s="3"/>
      <c r="J39" s="3"/>
      <c r="Q39" s="24"/>
      <c r="R39" s="24"/>
      <c r="S39" s="24"/>
      <c r="T39" s="24"/>
      <c r="U39" s="3"/>
      <c r="V39" s="24"/>
      <c r="W39" s="3"/>
      <c r="X39" s="24"/>
      <c r="Y39" s="3"/>
      <c r="Z39" s="24"/>
      <c r="AA39" s="3"/>
      <c r="AB39" s="24"/>
      <c r="AC39" s="3"/>
      <c r="AD39" s="24"/>
      <c r="AE39" s="3"/>
      <c r="AF39" s="24"/>
      <c r="AG39" s="3"/>
      <c r="AH39" s="24"/>
      <c r="AI39" s="3"/>
      <c r="AJ39" s="3"/>
      <c r="AK39" s="3"/>
      <c r="AL39" s="3"/>
      <c r="AM39" s="3"/>
      <c r="AN39" s="3"/>
      <c r="AP39" s="26"/>
    </row>
    <row r="40" spans="1:43" s="4" customFormat="1" x14ac:dyDescent="0.3">
      <c r="A40" s="7" t="s">
        <v>12</v>
      </c>
      <c r="B40" s="5">
        <f t="shared" ref="B40:I40" si="34">SUM(B41:B41)</f>
        <v>2000</v>
      </c>
      <c r="C40" s="25">
        <f t="shared" si="34"/>
        <v>1086.3800000000001</v>
      </c>
      <c r="D40" s="5">
        <f t="shared" si="34"/>
        <v>0</v>
      </c>
      <c r="E40" s="25">
        <f t="shared" si="34"/>
        <v>5595.2</v>
      </c>
      <c r="F40" s="5">
        <f t="shared" si="34"/>
        <v>0</v>
      </c>
      <c r="G40" s="25">
        <f t="shared" si="34"/>
        <v>0</v>
      </c>
      <c r="H40" s="5">
        <f t="shared" si="34"/>
        <v>0</v>
      </c>
      <c r="I40" s="5">
        <f t="shared" si="34"/>
        <v>0</v>
      </c>
      <c r="J40" s="3">
        <f t="shared" ref="J40:K41" si="35">SUM(B40,D40,F40,H40)</f>
        <v>2000</v>
      </c>
      <c r="K40" s="3">
        <f t="shared" si="35"/>
        <v>6681.58</v>
      </c>
      <c r="Q40" s="25">
        <f t="shared" ref="Q40:AN40" si="36">SUM(Q41:Q41)</f>
        <v>0</v>
      </c>
      <c r="R40" s="25">
        <f t="shared" si="36"/>
        <v>0</v>
      </c>
      <c r="S40" s="25">
        <f t="shared" si="36"/>
        <v>0</v>
      </c>
      <c r="T40" s="25">
        <f t="shared" si="36"/>
        <v>0</v>
      </c>
      <c r="U40" s="5">
        <f t="shared" si="36"/>
        <v>0</v>
      </c>
      <c r="V40" s="25">
        <f t="shared" si="36"/>
        <v>0</v>
      </c>
      <c r="W40" s="5">
        <f t="shared" si="36"/>
        <v>0</v>
      </c>
      <c r="X40" s="25">
        <f t="shared" si="36"/>
        <v>0</v>
      </c>
      <c r="Y40" s="5">
        <f t="shared" si="36"/>
        <v>2500</v>
      </c>
      <c r="Z40" s="25">
        <f t="shared" si="36"/>
        <v>0</v>
      </c>
      <c r="AA40" s="5">
        <f t="shared" si="36"/>
        <v>0</v>
      </c>
      <c r="AB40" s="25">
        <f t="shared" si="36"/>
        <v>0</v>
      </c>
      <c r="AC40" s="5">
        <f t="shared" si="36"/>
        <v>2500</v>
      </c>
      <c r="AD40" s="25">
        <f t="shared" si="36"/>
        <v>0</v>
      </c>
      <c r="AE40" s="5">
        <f t="shared" si="36"/>
        <v>0</v>
      </c>
      <c r="AF40" s="25">
        <f t="shared" si="36"/>
        <v>0</v>
      </c>
      <c r="AG40" s="5">
        <f t="shared" si="36"/>
        <v>2500</v>
      </c>
      <c r="AH40" s="25">
        <f t="shared" si="36"/>
        <v>0</v>
      </c>
      <c r="AI40" s="5">
        <f t="shared" si="36"/>
        <v>0</v>
      </c>
      <c r="AJ40" s="5">
        <f t="shared" si="36"/>
        <v>0</v>
      </c>
      <c r="AK40" s="5">
        <f t="shared" si="36"/>
        <v>2500</v>
      </c>
      <c r="AL40" s="5">
        <f t="shared" si="36"/>
        <v>0</v>
      </c>
      <c r="AM40" s="5">
        <f t="shared" si="36"/>
        <v>0</v>
      </c>
      <c r="AN40" s="5">
        <f t="shared" si="36"/>
        <v>0</v>
      </c>
      <c r="AO40" s="25">
        <f>SUM(AM40,AK40,AI40,AG40,AE40,AC40,AA40,Y40,W40,U40,S40,Q40)</f>
        <v>10000</v>
      </c>
      <c r="AP40" s="25">
        <f>SUM(AN40,AL40,AJ40,AH40,AF40,AD40,AB40,Z40,X40,V40,T40,R40)</f>
        <v>0</v>
      </c>
    </row>
    <row r="41" spans="1:43" x14ac:dyDescent="0.3">
      <c r="A41" s="6" t="s">
        <v>26</v>
      </c>
      <c r="B41" s="3">
        <v>2000</v>
      </c>
      <c r="C41" s="24">
        <v>1086.3800000000001</v>
      </c>
      <c r="D41" s="3"/>
      <c r="E41" s="24">
        <v>5595.2</v>
      </c>
      <c r="F41" s="3"/>
      <c r="G41" s="24"/>
      <c r="H41" s="3"/>
      <c r="I41" s="3"/>
      <c r="J41" s="3">
        <f t="shared" si="35"/>
        <v>2000</v>
      </c>
      <c r="K41" s="3">
        <f t="shared" si="35"/>
        <v>6681.58</v>
      </c>
      <c r="Q41" s="24"/>
      <c r="R41" s="24"/>
      <c r="S41" s="24"/>
      <c r="T41" s="24"/>
      <c r="U41" s="3"/>
      <c r="V41" s="24"/>
      <c r="W41" s="3"/>
      <c r="X41" s="24"/>
      <c r="Y41" s="3">
        <v>2500</v>
      </c>
      <c r="Z41" s="24"/>
      <c r="AA41" s="3"/>
      <c r="AB41" s="24"/>
      <c r="AC41" s="3">
        <v>2500</v>
      </c>
      <c r="AD41" s="24"/>
      <c r="AE41" s="3"/>
      <c r="AF41" s="24"/>
      <c r="AG41" s="3">
        <v>2500</v>
      </c>
      <c r="AH41" s="24"/>
      <c r="AI41" s="3"/>
      <c r="AJ41" s="3"/>
      <c r="AK41" s="3">
        <v>2500</v>
      </c>
      <c r="AL41" s="3"/>
      <c r="AM41" s="3"/>
      <c r="AN41" s="3"/>
      <c r="AP41" s="26"/>
    </row>
    <row r="42" spans="1:43" s="49" customFormat="1" x14ac:dyDescent="0.3">
      <c r="A42" s="46"/>
      <c r="B42" s="47"/>
      <c r="C42" s="48"/>
      <c r="D42" s="47"/>
      <c r="E42" s="48"/>
      <c r="F42" s="47"/>
      <c r="G42" s="48"/>
      <c r="H42" s="47"/>
      <c r="I42" s="47"/>
      <c r="J42" s="47"/>
      <c r="Q42" s="48">
        <v>69520</v>
      </c>
      <c r="R42" s="48">
        <v>69520</v>
      </c>
      <c r="S42" s="48">
        <v>69520</v>
      </c>
      <c r="T42" s="48">
        <v>69520</v>
      </c>
      <c r="U42" s="47">
        <v>69520</v>
      </c>
      <c r="V42" s="48"/>
      <c r="W42" s="47">
        <v>69520</v>
      </c>
      <c r="X42" s="48"/>
      <c r="Y42" s="47">
        <v>69520</v>
      </c>
      <c r="Z42" s="48"/>
      <c r="AA42" s="47">
        <v>69520</v>
      </c>
      <c r="AB42" s="48"/>
      <c r="AC42" s="47">
        <v>69520</v>
      </c>
      <c r="AD42" s="48"/>
      <c r="AE42" s="47">
        <v>69520</v>
      </c>
      <c r="AF42" s="48"/>
      <c r="AG42" s="47">
        <v>69520</v>
      </c>
      <c r="AH42" s="48"/>
      <c r="AI42" s="47">
        <v>69520</v>
      </c>
      <c r="AJ42" s="47"/>
      <c r="AK42" s="47">
        <v>139040</v>
      </c>
      <c r="AL42" s="47"/>
      <c r="AM42" s="47">
        <v>69520</v>
      </c>
      <c r="AN42" s="47"/>
      <c r="AO42" s="70">
        <f>SUM(AM42,AK42,AI42,AG42,AE42,AC42,AA42,Y42,W42,U42,S42,Q42)</f>
        <v>903760</v>
      </c>
      <c r="AP42" s="70">
        <f>SUM(AN42,AL42,AJ42,AH42,AF42,AD42,AB42,Z42,X42,V42,T42,R42)</f>
        <v>139040</v>
      </c>
    </row>
    <row r="43" spans="1:43" s="49" customFormat="1" x14ac:dyDescent="0.3">
      <c r="A43" s="46"/>
      <c r="B43" s="47"/>
      <c r="C43" s="48"/>
      <c r="D43" s="47"/>
      <c r="E43" s="48"/>
      <c r="F43" s="47"/>
      <c r="G43" s="48"/>
      <c r="H43" s="47"/>
      <c r="I43" s="47"/>
      <c r="J43" s="47"/>
      <c r="Q43" s="48"/>
      <c r="R43" s="48"/>
      <c r="S43" s="48"/>
      <c r="T43" s="48"/>
      <c r="U43" s="47"/>
      <c r="V43" s="48"/>
      <c r="W43" s="47"/>
      <c r="X43" s="48"/>
      <c r="Y43" s="47"/>
      <c r="Z43" s="48"/>
      <c r="AA43" s="47"/>
      <c r="AB43" s="48"/>
      <c r="AC43" s="47"/>
      <c r="AD43" s="48"/>
      <c r="AE43" s="47"/>
      <c r="AF43" s="48"/>
      <c r="AG43" s="47"/>
      <c r="AH43" s="48"/>
      <c r="AI43" s="47"/>
      <c r="AJ43" s="47"/>
      <c r="AK43" s="47"/>
      <c r="AL43" s="47"/>
      <c r="AM43" s="47"/>
      <c r="AN43" s="47"/>
      <c r="AO43" s="48"/>
    </row>
    <row r="44" spans="1:43" s="49" customFormat="1" x14ac:dyDescent="0.3">
      <c r="A44" s="46"/>
      <c r="B44" s="47"/>
      <c r="C44" s="48"/>
      <c r="D44" s="47"/>
      <c r="E44" s="48"/>
      <c r="F44" s="47"/>
      <c r="G44" s="48"/>
      <c r="H44" s="47"/>
      <c r="I44" s="47"/>
      <c r="J44" s="47"/>
      <c r="Q44" s="48"/>
      <c r="R44" s="48"/>
      <c r="S44" s="48"/>
      <c r="T44" s="48"/>
      <c r="U44" s="47">
        <v>133149</v>
      </c>
      <c r="V44" s="48"/>
      <c r="W44" s="47">
        <v>476856</v>
      </c>
      <c r="X44" s="48"/>
      <c r="Y44" s="47">
        <v>586856</v>
      </c>
      <c r="Z44" s="48"/>
      <c r="AA44" s="47">
        <v>476856</v>
      </c>
      <c r="AB44" s="48"/>
      <c r="AC44" s="47">
        <v>1182171</v>
      </c>
      <c r="AD44" s="48"/>
      <c r="AE44" s="47">
        <v>1184601</v>
      </c>
      <c r="AF44" s="48"/>
      <c r="AG44" s="47">
        <v>1184601</v>
      </c>
      <c r="AH44" s="48"/>
      <c r="AI44" s="47">
        <v>2388056</v>
      </c>
      <c r="AJ44" s="47"/>
      <c r="AK44" s="47">
        <v>2457576</v>
      </c>
      <c r="AL44" s="47"/>
      <c r="AM44" s="47">
        <v>2388056</v>
      </c>
      <c r="AN44" s="47"/>
      <c r="AO44" s="70">
        <f>SUM(AM44,AK44,AI44,AG44,AE44,AC44,AA44,Y44,W44,U44,S44,Q44)</f>
        <v>12458778</v>
      </c>
      <c r="AP44" s="70">
        <f>SUM(AN44,AL44,AJ44,AH44,AF44,AD44,AB44,Z44,X44,V44,T44,R44)</f>
        <v>0</v>
      </c>
      <c r="AQ44" s="71">
        <f>AP1-AO44</f>
        <v>166299</v>
      </c>
    </row>
    <row r="45" spans="1:43" s="60" customFormat="1" x14ac:dyDescent="0.3">
      <c r="A45" s="8"/>
      <c r="B45" s="57"/>
      <c r="C45" s="64"/>
      <c r="D45" s="57"/>
      <c r="E45" s="64"/>
      <c r="F45" s="57"/>
      <c r="G45" s="64"/>
      <c r="H45" s="57"/>
      <c r="I45" s="57"/>
      <c r="J45" s="57"/>
      <c r="Q45" s="64"/>
      <c r="R45" s="64"/>
      <c r="S45" s="64"/>
      <c r="T45" s="64"/>
      <c r="U45" s="57"/>
      <c r="V45" s="64"/>
      <c r="W45" s="57"/>
      <c r="X45" s="64"/>
      <c r="Y45" s="57"/>
      <c r="Z45" s="64"/>
      <c r="AA45" s="57"/>
      <c r="AB45" s="64"/>
      <c r="AC45" s="57"/>
      <c r="AD45" s="64"/>
      <c r="AE45" s="57"/>
      <c r="AF45" s="64"/>
      <c r="AG45" s="57"/>
      <c r="AH45" s="64"/>
      <c r="AI45" s="57"/>
      <c r="AJ45" s="57"/>
      <c r="AK45" s="57"/>
      <c r="AL45" s="57"/>
      <c r="AM45" s="57"/>
      <c r="AN45" s="57"/>
      <c r="AO45" s="64"/>
    </row>
    <row r="46" spans="1:43" s="60" customFormat="1" x14ac:dyDescent="0.3">
      <c r="A46" s="8"/>
      <c r="B46" s="57"/>
      <c r="C46" s="64"/>
      <c r="D46" s="57"/>
      <c r="E46" s="64"/>
      <c r="F46" s="57"/>
      <c r="G46" s="64"/>
      <c r="H46" s="57"/>
      <c r="I46" s="57"/>
      <c r="J46" s="57"/>
      <c r="Q46" s="64"/>
      <c r="R46" s="64"/>
      <c r="S46" s="64"/>
      <c r="T46" s="64"/>
      <c r="U46" s="57"/>
      <c r="V46" s="64"/>
      <c r="W46" s="57"/>
      <c r="X46" s="64"/>
      <c r="Y46" s="57"/>
      <c r="Z46" s="64"/>
      <c r="AA46" s="57"/>
      <c r="AB46" s="64"/>
      <c r="AC46" s="57"/>
      <c r="AD46" s="64"/>
      <c r="AE46" s="57"/>
      <c r="AF46" s="64"/>
      <c r="AG46" s="57"/>
      <c r="AH46" s="64"/>
      <c r="AI46" s="57"/>
      <c r="AJ46" s="57"/>
      <c r="AK46" s="57"/>
      <c r="AL46" s="57"/>
      <c r="AM46" s="57"/>
      <c r="AN46" s="57"/>
      <c r="AO46" s="64"/>
    </row>
    <row r="47" spans="1:43" s="49" customFormat="1" x14ac:dyDescent="0.3">
      <c r="A47" s="46"/>
      <c r="B47" s="47"/>
      <c r="C47" s="48"/>
      <c r="D47" s="47"/>
      <c r="E47" s="48"/>
      <c r="F47" s="47"/>
      <c r="G47" s="48"/>
      <c r="H47" s="47"/>
      <c r="I47" s="47"/>
      <c r="J47" s="47"/>
      <c r="Q47" s="48"/>
      <c r="R47" s="48"/>
      <c r="S47" s="48"/>
      <c r="T47" s="48"/>
      <c r="U47" s="47"/>
      <c r="V47" s="48"/>
      <c r="W47" s="47"/>
      <c r="X47" s="48"/>
      <c r="Y47" s="47"/>
      <c r="Z47" s="48"/>
      <c r="AA47" s="47"/>
      <c r="AB47" s="48"/>
      <c r="AC47" s="47"/>
      <c r="AD47" s="48"/>
      <c r="AE47" s="47"/>
      <c r="AF47" s="48"/>
      <c r="AG47" s="47"/>
      <c r="AH47" s="48"/>
      <c r="AI47" s="47"/>
      <c r="AJ47" s="47"/>
      <c r="AK47" s="47"/>
      <c r="AL47" s="47"/>
      <c r="AM47" s="47"/>
      <c r="AN47" s="47"/>
      <c r="AO47" s="50"/>
    </row>
    <row r="48" spans="1:43" s="49" customFormat="1" x14ac:dyDescent="0.3">
      <c r="A48" s="46"/>
      <c r="B48" s="47"/>
      <c r="C48" s="48"/>
      <c r="D48" s="47"/>
      <c r="E48" s="48"/>
      <c r="F48" s="47"/>
      <c r="G48" s="48"/>
      <c r="H48" s="47"/>
      <c r="I48" s="47"/>
      <c r="J48" s="47"/>
      <c r="Q48" s="48">
        <f>Q3+Q42</f>
        <v>219040</v>
      </c>
      <c r="R48" s="48">
        <f>R3+R42</f>
        <v>228126.25</v>
      </c>
      <c r="S48" s="48"/>
      <c r="T48" s="48"/>
      <c r="U48" s="47"/>
      <c r="V48" s="47"/>
      <c r="W48" s="47"/>
      <c r="X48" s="47"/>
      <c r="Y48" s="47"/>
      <c r="Z48" s="47"/>
      <c r="AA48" s="47">
        <f t="shared" ref="AA48:AN48" si="37">AA3+AA42</f>
        <v>889284.7</v>
      </c>
      <c r="AB48" s="47">
        <f t="shared" si="37"/>
        <v>0</v>
      </c>
      <c r="AC48" s="47">
        <f t="shared" si="37"/>
        <v>1126658.72</v>
      </c>
      <c r="AD48" s="47">
        <f t="shared" si="37"/>
        <v>0</v>
      </c>
      <c r="AE48" s="47">
        <f t="shared" si="37"/>
        <v>1294964.6000000001</v>
      </c>
      <c r="AF48" s="47">
        <f t="shared" si="37"/>
        <v>0</v>
      </c>
      <c r="AG48" s="47">
        <f t="shared" si="37"/>
        <v>1513293.1333333333</v>
      </c>
      <c r="AH48" s="47">
        <f t="shared" si="37"/>
        <v>0</v>
      </c>
      <c r="AI48" s="47">
        <f t="shared" si="37"/>
        <v>1764466.6</v>
      </c>
      <c r="AJ48" s="47">
        <f t="shared" si="37"/>
        <v>0</v>
      </c>
      <c r="AK48" s="47">
        <f t="shared" si="37"/>
        <v>2196207.0307692308</v>
      </c>
      <c r="AL48" s="47">
        <f t="shared" si="37"/>
        <v>0</v>
      </c>
      <c r="AM48" s="47">
        <f t="shared" si="37"/>
        <v>2448871</v>
      </c>
      <c r="AN48" s="47">
        <f t="shared" si="37"/>
        <v>0</v>
      </c>
      <c r="AO48" s="48">
        <f t="shared" ref="AO48" si="38">SUM(AM48,AK48,AI48,AG48,AE48,AC48,AA48,Y48,W48,U48,S48,Q48)</f>
        <v>11452785.784102563</v>
      </c>
      <c r="AP48" s="47">
        <f>AP3+AP42</f>
        <v>419934.55000000005</v>
      </c>
    </row>
    <row r="49" spans="1:41" s="49" customFormat="1" x14ac:dyDescent="0.3">
      <c r="A49" s="46"/>
      <c r="B49" s="47"/>
      <c r="C49" s="48"/>
      <c r="D49" s="47"/>
      <c r="E49" s="48"/>
      <c r="F49" s="47"/>
      <c r="G49" s="48"/>
      <c r="H49" s="47"/>
      <c r="I49" s="47"/>
      <c r="J49" s="47"/>
      <c r="Q49" s="48"/>
      <c r="R49" s="48"/>
      <c r="S49" s="48"/>
      <c r="T49" s="50"/>
      <c r="U49" s="83"/>
      <c r="V49" s="83"/>
      <c r="W49" s="47"/>
      <c r="X49" s="48"/>
      <c r="Y49" s="47"/>
      <c r="Z49" s="48"/>
      <c r="AA49" s="47"/>
      <c r="AB49" s="48"/>
      <c r="AC49" s="47"/>
      <c r="AD49" s="48"/>
      <c r="AE49" s="47"/>
      <c r="AF49" s="48"/>
      <c r="AG49" s="47"/>
      <c r="AH49" s="48"/>
      <c r="AI49" s="47"/>
      <c r="AJ49" s="47"/>
      <c r="AK49" s="47"/>
      <c r="AL49" s="47"/>
      <c r="AM49" s="47"/>
      <c r="AN49" s="47"/>
      <c r="AO49" s="48">
        <f>AP1-AO48</f>
        <v>1172291.2158974372</v>
      </c>
    </row>
    <row r="50" spans="1:41" s="49" customFormat="1" x14ac:dyDescent="0.3">
      <c r="A50" s="46"/>
      <c r="B50" s="47"/>
      <c r="C50" s="48"/>
      <c r="D50" s="47"/>
      <c r="E50" s="48"/>
      <c r="F50" s="47"/>
      <c r="G50" s="48"/>
      <c r="H50" s="47"/>
      <c r="I50" s="47"/>
      <c r="J50" s="47"/>
      <c r="Q50" s="48"/>
      <c r="R50" s="48"/>
      <c r="S50" s="66"/>
      <c r="T50" s="50"/>
      <c r="U50" s="59"/>
      <c r="V50" s="56"/>
      <c r="W50" s="47"/>
      <c r="X50" s="48"/>
      <c r="Y50" s="47"/>
      <c r="Z50" s="48"/>
      <c r="AA50" s="47"/>
      <c r="AB50" s="48"/>
      <c r="AC50" s="47"/>
      <c r="AD50" s="48"/>
      <c r="AE50" s="47"/>
      <c r="AF50" s="48"/>
      <c r="AG50" s="47"/>
      <c r="AH50" s="48"/>
      <c r="AI50" s="47"/>
      <c r="AJ50" s="47"/>
      <c r="AK50" s="47"/>
      <c r="AL50" s="47"/>
      <c r="AM50" s="47"/>
      <c r="AN50" s="47"/>
      <c r="AO50" s="50"/>
    </row>
    <row r="51" spans="1:41" s="49" customFormat="1" x14ac:dyDescent="0.3">
      <c r="A51" s="46"/>
      <c r="B51" s="47"/>
      <c r="C51" s="48"/>
      <c r="D51" s="47"/>
      <c r="E51" s="48"/>
      <c r="F51" s="47"/>
      <c r="G51" s="48"/>
      <c r="H51" s="47"/>
      <c r="I51" s="47"/>
      <c r="J51" s="47"/>
      <c r="Q51" s="48"/>
      <c r="R51" s="48"/>
      <c r="S51" s="50"/>
      <c r="T51" s="50"/>
      <c r="W51" s="58"/>
      <c r="X51" s="48"/>
      <c r="Y51" s="47"/>
      <c r="Z51" s="48"/>
      <c r="AA51" s="47"/>
      <c r="AB51" s="48"/>
      <c r="AC51" s="47"/>
      <c r="AD51" s="48"/>
      <c r="AE51" s="47"/>
      <c r="AF51" s="48"/>
      <c r="AG51" s="47"/>
      <c r="AH51" s="48"/>
      <c r="AI51" s="47"/>
      <c r="AJ51" s="47"/>
      <c r="AK51" s="47"/>
      <c r="AL51" s="47"/>
      <c r="AM51" s="47"/>
      <c r="AN51" s="47"/>
      <c r="AO51" s="50"/>
    </row>
    <row r="52" spans="1:41" s="49" customFormat="1" x14ac:dyDescent="0.3">
      <c r="A52" s="46"/>
      <c r="B52" s="47"/>
      <c r="C52" s="48"/>
      <c r="D52" s="47"/>
      <c r="E52" s="48"/>
      <c r="F52" s="47"/>
      <c r="G52" s="48"/>
      <c r="H52" s="47"/>
      <c r="I52" s="47"/>
      <c r="J52" s="47"/>
      <c r="Q52" s="48"/>
      <c r="R52" s="48"/>
      <c r="S52" s="50"/>
      <c r="T52" s="67"/>
      <c r="U52" s="56"/>
      <c r="V52" s="56"/>
      <c r="W52" s="58"/>
      <c r="X52" s="48"/>
      <c r="Y52" s="47"/>
      <c r="Z52" s="48"/>
      <c r="AA52" s="47"/>
      <c r="AB52" s="48"/>
      <c r="AC52" s="47"/>
      <c r="AD52" s="48"/>
      <c r="AE52" s="47"/>
      <c r="AF52" s="48"/>
      <c r="AG52" s="47"/>
      <c r="AH52" s="48"/>
      <c r="AI52" s="47"/>
      <c r="AJ52" s="47"/>
      <c r="AK52" s="47"/>
      <c r="AL52" s="47"/>
      <c r="AM52" s="47"/>
      <c r="AN52" s="47"/>
      <c r="AO52" s="50"/>
    </row>
    <row r="53" spans="1:41" s="49" customFormat="1" x14ac:dyDescent="0.3">
      <c r="A53" s="46"/>
      <c r="B53" s="47"/>
      <c r="C53" s="48"/>
      <c r="D53" s="47"/>
      <c r="E53" s="48"/>
      <c r="F53" s="47"/>
      <c r="G53" s="48"/>
      <c r="H53" s="47"/>
      <c r="I53" s="47"/>
      <c r="J53" s="47"/>
      <c r="Q53" s="48"/>
      <c r="R53" s="48"/>
      <c r="S53" s="50"/>
      <c r="T53" s="68"/>
      <c r="U53" s="3"/>
      <c r="V53" s="24"/>
      <c r="W53" s="58"/>
      <c r="X53" s="48"/>
      <c r="Y53" s="47"/>
      <c r="Z53" s="48"/>
      <c r="AA53" s="47"/>
      <c r="AB53" s="48"/>
      <c r="AC53" s="47"/>
      <c r="AD53" s="48"/>
      <c r="AE53" s="47"/>
      <c r="AF53" s="48"/>
      <c r="AG53" s="47"/>
      <c r="AH53" s="48"/>
      <c r="AI53" s="47"/>
      <c r="AJ53" s="47"/>
      <c r="AK53" s="47"/>
      <c r="AL53" s="47"/>
      <c r="AM53" s="47"/>
      <c r="AN53" s="47"/>
      <c r="AO53" s="50"/>
    </row>
    <row r="54" spans="1:41" s="49" customFormat="1" x14ac:dyDescent="0.3">
      <c r="A54" s="46"/>
      <c r="B54" s="47"/>
      <c r="C54" s="48"/>
      <c r="D54" s="47"/>
      <c r="E54" s="48"/>
      <c r="F54" s="47"/>
      <c r="G54" s="48"/>
      <c r="H54" s="47"/>
      <c r="I54" s="47"/>
      <c r="J54" s="47"/>
      <c r="Q54" s="48"/>
      <c r="R54" s="48"/>
      <c r="S54" s="50"/>
      <c r="T54" s="68"/>
      <c r="U54" s="58"/>
      <c r="V54" s="3"/>
      <c r="W54" s="58"/>
      <c r="X54" s="48"/>
      <c r="Y54" s="47"/>
      <c r="Z54" s="48"/>
      <c r="AA54" s="47"/>
      <c r="AB54" s="48"/>
      <c r="AC54" s="47"/>
      <c r="AD54" s="48"/>
      <c r="AE54" s="47"/>
      <c r="AF54" s="48"/>
      <c r="AG54" s="47"/>
      <c r="AH54" s="48"/>
      <c r="AI54" s="47"/>
      <c r="AJ54" s="47"/>
      <c r="AK54" s="47"/>
      <c r="AL54" s="47"/>
      <c r="AM54" s="47"/>
      <c r="AN54" s="47"/>
      <c r="AO54" s="50"/>
    </row>
    <row r="55" spans="1:41" s="49" customFormat="1" x14ac:dyDescent="0.3">
      <c r="A55" s="46"/>
      <c r="B55" s="47"/>
      <c r="C55" s="48"/>
      <c r="D55" s="47"/>
      <c r="E55" s="48"/>
      <c r="F55" s="47"/>
      <c r="G55" s="48"/>
      <c r="H55" s="47"/>
      <c r="I55" s="47"/>
      <c r="J55" s="47"/>
      <c r="Q55" s="48"/>
      <c r="R55" s="48"/>
      <c r="S55" s="50"/>
      <c r="T55" s="68"/>
      <c r="U55" s="57"/>
      <c r="V55" s="3"/>
      <c r="W55" s="58"/>
      <c r="X55" s="48"/>
      <c r="Y55" s="47"/>
      <c r="Z55" s="48"/>
      <c r="AA55" s="47"/>
      <c r="AB55" s="48"/>
      <c r="AC55" s="47"/>
      <c r="AD55" s="48"/>
      <c r="AE55" s="47"/>
      <c r="AF55" s="48"/>
      <c r="AG55" s="47"/>
      <c r="AH55" s="48"/>
      <c r="AI55" s="47"/>
      <c r="AJ55" s="47"/>
      <c r="AK55" s="47"/>
      <c r="AL55" s="47"/>
      <c r="AM55" s="47"/>
      <c r="AN55" s="47"/>
      <c r="AO55" s="50"/>
    </row>
    <row r="56" spans="1:41" s="49" customFormat="1" x14ac:dyDescent="0.3">
      <c r="A56" s="46"/>
      <c r="B56" s="47"/>
      <c r="C56" s="48"/>
      <c r="D56" s="47"/>
      <c r="E56" s="48"/>
      <c r="F56" s="47"/>
      <c r="G56" s="48"/>
      <c r="H56" s="47"/>
      <c r="I56" s="47"/>
      <c r="J56" s="47"/>
      <c r="Q56" s="48"/>
      <c r="R56" s="48"/>
      <c r="S56" s="50"/>
      <c r="T56" s="68"/>
      <c r="U56" s="58"/>
      <c r="V56" s="3"/>
      <c r="W56" s="58"/>
      <c r="X56" s="48"/>
      <c r="Y56" s="47"/>
      <c r="Z56" s="48"/>
      <c r="AA56" s="47"/>
      <c r="AB56" s="48"/>
      <c r="AC56" s="47"/>
      <c r="AD56" s="48"/>
      <c r="AE56" s="47"/>
      <c r="AF56" s="48"/>
      <c r="AG56" s="47"/>
      <c r="AH56" s="48"/>
      <c r="AI56" s="47"/>
      <c r="AJ56" s="47"/>
      <c r="AK56" s="47"/>
      <c r="AL56" s="47"/>
      <c r="AM56" s="47"/>
      <c r="AN56" s="47"/>
      <c r="AO56" s="50"/>
    </row>
    <row r="57" spans="1:41" s="49" customFormat="1" x14ac:dyDescent="0.3">
      <c r="A57" s="46"/>
      <c r="B57" s="47"/>
      <c r="C57" s="48"/>
      <c r="D57" s="47"/>
      <c r="E57" s="48"/>
      <c r="F57" s="47"/>
      <c r="G57" s="48"/>
      <c r="H57" s="47"/>
      <c r="I57" s="47"/>
      <c r="J57" s="47"/>
      <c r="Q57" s="48"/>
      <c r="R57" s="48"/>
      <c r="S57" s="50"/>
      <c r="T57" s="68"/>
      <c r="U57" s="58"/>
      <c r="V57" s="3"/>
      <c r="W57" s="58"/>
      <c r="X57" s="48"/>
      <c r="Y57" s="47"/>
      <c r="Z57" s="48"/>
      <c r="AA57" s="47"/>
      <c r="AB57" s="48"/>
      <c r="AC57" s="47"/>
      <c r="AD57" s="48"/>
      <c r="AE57" s="47"/>
      <c r="AF57" s="48"/>
      <c r="AG57" s="47"/>
      <c r="AH57" s="48"/>
      <c r="AI57" s="47"/>
      <c r="AJ57" s="47"/>
      <c r="AK57" s="47"/>
      <c r="AL57" s="47"/>
      <c r="AM57" s="47"/>
      <c r="AN57" s="47"/>
      <c r="AO57" s="50"/>
    </row>
    <row r="58" spans="1:41" s="49" customFormat="1" x14ac:dyDescent="0.3">
      <c r="A58" s="46"/>
      <c r="B58" s="47"/>
      <c r="C58" s="48"/>
      <c r="D58" s="47"/>
      <c r="E58" s="48"/>
      <c r="F58" s="47"/>
      <c r="G58" s="48"/>
      <c r="H58" s="47"/>
      <c r="I58" s="47"/>
      <c r="J58" s="47"/>
      <c r="Q58" s="48"/>
      <c r="R58" s="48"/>
      <c r="S58" s="50"/>
      <c r="T58" s="68"/>
      <c r="U58" s="57"/>
      <c r="V58" s="3"/>
      <c r="W58" s="58"/>
      <c r="X58" s="48"/>
      <c r="Y58" s="47"/>
      <c r="Z58" s="48"/>
      <c r="AA58" s="47"/>
      <c r="AB58" s="48"/>
      <c r="AC58" s="47"/>
      <c r="AD58" s="48"/>
      <c r="AE58" s="47"/>
      <c r="AF58" s="48"/>
      <c r="AG58" s="47"/>
      <c r="AH58" s="48"/>
      <c r="AI58" s="47"/>
      <c r="AJ58" s="47"/>
      <c r="AK58" s="47"/>
      <c r="AL58" s="47"/>
      <c r="AM58" s="47"/>
      <c r="AN58" s="47"/>
      <c r="AO58" s="50"/>
    </row>
    <row r="59" spans="1:41" s="49" customFormat="1" x14ac:dyDescent="0.3">
      <c r="A59" s="46"/>
      <c r="B59" s="47"/>
      <c r="C59" s="48"/>
      <c r="D59" s="47"/>
      <c r="E59" s="48"/>
      <c r="F59" s="47"/>
      <c r="G59" s="48"/>
      <c r="H59" s="47"/>
      <c r="I59" s="47"/>
      <c r="J59" s="47"/>
      <c r="Q59" s="48"/>
      <c r="R59" s="48"/>
      <c r="S59" s="50"/>
      <c r="T59" s="68"/>
      <c r="U59" s="57"/>
      <c r="V59" s="3"/>
      <c r="W59" s="58"/>
      <c r="X59" s="48"/>
      <c r="Y59" s="47"/>
      <c r="Z59" s="48"/>
      <c r="AA59" s="47"/>
      <c r="AB59" s="48"/>
      <c r="AC59" s="47"/>
      <c r="AD59" s="48"/>
      <c r="AE59" s="47"/>
      <c r="AF59" s="48"/>
      <c r="AG59" s="47"/>
      <c r="AH59" s="48"/>
      <c r="AI59" s="47"/>
      <c r="AJ59" s="47"/>
      <c r="AK59" s="47"/>
      <c r="AL59" s="47"/>
      <c r="AM59" s="47"/>
      <c r="AN59" s="47"/>
      <c r="AO59" s="50"/>
    </row>
    <row r="60" spans="1:41" s="49" customFormat="1" x14ac:dyDescent="0.3">
      <c r="A60" s="46"/>
      <c r="B60" s="47"/>
      <c r="C60" s="48"/>
      <c r="D60" s="47"/>
      <c r="E60" s="48"/>
      <c r="F60" s="47"/>
      <c r="G60" s="48"/>
      <c r="H60" s="47"/>
      <c r="I60" s="47"/>
      <c r="J60" s="47"/>
      <c r="Q60" s="48"/>
      <c r="R60" s="48"/>
      <c r="S60" s="50"/>
      <c r="T60" s="68"/>
      <c r="U60" s="57"/>
      <c r="V60" s="3"/>
      <c r="W60" s="58"/>
      <c r="X60" s="48"/>
      <c r="Y60" s="47"/>
      <c r="Z60" s="48"/>
      <c r="AA60" s="47"/>
      <c r="AB60" s="48"/>
      <c r="AC60" s="47"/>
      <c r="AD60" s="48"/>
      <c r="AE60" s="47"/>
      <c r="AF60" s="48"/>
      <c r="AG60" s="47"/>
      <c r="AH60" s="48"/>
      <c r="AI60" s="47"/>
      <c r="AJ60" s="47"/>
      <c r="AK60" s="47"/>
      <c r="AL60" s="47"/>
      <c r="AM60" s="47"/>
      <c r="AN60" s="47"/>
      <c r="AO60" s="50"/>
    </row>
    <row r="61" spans="1:41" x14ac:dyDescent="0.3">
      <c r="V61" s="3"/>
      <c r="W61" s="8"/>
    </row>
    <row r="62" spans="1:41" x14ac:dyDescent="0.3">
      <c r="V62" s="3"/>
      <c r="W62" s="60"/>
    </row>
    <row r="63" spans="1:41" x14ac:dyDescent="0.3">
      <c r="W63" s="60"/>
    </row>
    <row r="64" spans="1:41" x14ac:dyDescent="0.3">
      <c r="W64" s="60"/>
    </row>
    <row r="65" spans="23:23" x14ac:dyDescent="0.3">
      <c r="W65" s="60"/>
    </row>
  </sheetData>
  <mergeCells count="18">
    <mergeCell ref="AC1:AD1"/>
    <mergeCell ref="AA1:AB1"/>
    <mergeCell ref="Y1:Z1"/>
    <mergeCell ref="W1:X1"/>
    <mergeCell ref="U1:V1"/>
    <mergeCell ref="AG1:AH1"/>
    <mergeCell ref="AI1:AJ1"/>
    <mergeCell ref="AK1:AL1"/>
    <mergeCell ref="AM1:AN1"/>
    <mergeCell ref="AE1:AF1"/>
    <mergeCell ref="S1:T1"/>
    <mergeCell ref="Q1:R1"/>
    <mergeCell ref="U49:V49"/>
    <mergeCell ref="B1:C1"/>
    <mergeCell ref="D1:E1"/>
    <mergeCell ref="F1:G1"/>
    <mergeCell ref="H1:I1"/>
    <mergeCell ref="J1:K1"/>
  </mergeCells>
  <conditionalFormatting sqref="J3">
    <cfRule type="top10" dxfId="0" priority="1" rank="100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74B3-2EAE-4446-B48C-2896284359F8}">
  <sheetPr filterMode="1"/>
  <dimension ref="A1:O44"/>
  <sheetViews>
    <sheetView showGridLines="0" workbookViewId="0">
      <selection activeCell="D16" sqref="D16"/>
    </sheetView>
  </sheetViews>
  <sheetFormatPr defaultColWidth="9.109375" defaultRowHeight="14.4" x14ac:dyDescent="0.3"/>
  <cols>
    <col min="1" max="1" width="10.88671875" style="12" customWidth="1"/>
    <col min="2" max="2" width="15.6640625" style="10" bestFit="1" customWidth="1"/>
    <col min="3" max="3" width="28.6640625" style="10" bestFit="1" customWidth="1"/>
    <col min="4" max="4" width="9.5546875" style="11" bestFit="1" customWidth="1"/>
    <col min="5" max="5" width="11.109375" style="10" customWidth="1"/>
    <col min="6" max="6" width="19.6640625" style="10" bestFit="1" customWidth="1"/>
    <col min="7" max="7" width="15.109375" style="10" customWidth="1"/>
    <col min="8" max="8" width="11.44140625" style="10" bestFit="1" customWidth="1"/>
    <col min="9" max="9" width="10.5546875" style="10" bestFit="1" customWidth="1"/>
    <col min="10" max="10" width="10.5546875" style="10" customWidth="1"/>
    <col min="11" max="12" width="9.109375" style="10"/>
    <col min="13" max="13" width="16.6640625" style="10" bestFit="1" customWidth="1"/>
    <col min="14" max="14" width="24" style="10" bestFit="1" customWidth="1"/>
    <col min="15" max="15" width="13.88671875" style="10" bestFit="1" customWidth="1"/>
    <col min="16" max="16384" width="9.109375" style="10"/>
  </cols>
  <sheetData>
    <row r="1" spans="1:15" s="12" customFormat="1" x14ac:dyDescent="0.3">
      <c r="A1" s="13" t="s">
        <v>56</v>
      </c>
      <c r="B1" s="13" t="s">
        <v>57</v>
      </c>
      <c r="C1" s="13" t="s">
        <v>58</v>
      </c>
      <c r="D1" s="14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M1"/>
      <c r="N1"/>
    </row>
    <row r="2" spans="1:15" hidden="1" x14ac:dyDescent="0.3">
      <c r="A2" s="18">
        <v>45901</v>
      </c>
      <c r="B2" s="15" t="s">
        <v>66</v>
      </c>
      <c r="C2" s="15" t="s">
        <v>67</v>
      </c>
      <c r="D2" s="34">
        <v>300</v>
      </c>
      <c r="E2" s="15" t="s">
        <v>68</v>
      </c>
      <c r="F2" s="15" t="s">
        <v>20</v>
      </c>
      <c r="G2" s="17">
        <v>45901</v>
      </c>
      <c r="H2" s="19">
        <v>45923</v>
      </c>
      <c r="I2" s="19">
        <v>45924</v>
      </c>
      <c r="J2" s="20">
        <v>20</v>
      </c>
      <c r="M2"/>
      <c r="N2"/>
    </row>
    <row r="3" spans="1:15" hidden="1" x14ac:dyDescent="0.3">
      <c r="A3" s="18">
        <v>45903</v>
      </c>
      <c r="B3" s="15" t="s">
        <v>69</v>
      </c>
      <c r="C3" s="15" t="s">
        <v>70</v>
      </c>
      <c r="D3" s="34">
        <v>65.900000000000006</v>
      </c>
      <c r="E3" s="15" t="s">
        <v>71</v>
      </c>
      <c r="F3" s="15" t="s">
        <v>25</v>
      </c>
      <c r="G3" s="17">
        <v>45901</v>
      </c>
      <c r="H3" s="15"/>
      <c r="I3" s="15"/>
      <c r="J3" s="15"/>
      <c r="K3" s="10" t="s">
        <v>72</v>
      </c>
      <c r="M3" s="39" t="s">
        <v>60</v>
      </c>
      <c r="N3" s="39" t="s">
        <v>61</v>
      </c>
      <c r="O3" t="s">
        <v>73</v>
      </c>
    </row>
    <row r="4" spans="1:15" hidden="1" x14ac:dyDescent="0.3">
      <c r="A4" s="18">
        <v>45901</v>
      </c>
      <c r="B4" s="15" t="s">
        <v>5</v>
      </c>
      <c r="C4" s="15" t="s">
        <v>0</v>
      </c>
      <c r="D4" s="34">
        <v>230.43</v>
      </c>
      <c r="E4" s="15" t="s">
        <v>74</v>
      </c>
      <c r="F4" s="15" t="s">
        <v>5</v>
      </c>
      <c r="G4" s="17">
        <v>45901</v>
      </c>
      <c r="H4" s="15"/>
      <c r="I4" s="15"/>
      <c r="J4" s="19"/>
      <c r="K4" s="10" t="s">
        <v>72</v>
      </c>
      <c r="M4" t="s">
        <v>6</v>
      </c>
      <c r="N4" t="s">
        <v>16</v>
      </c>
      <c r="O4">
        <v>441.5</v>
      </c>
    </row>
    <row r="5" spans="1:15" hidden="1" x14ac:dyDescent="0.3">
      <c r="A5" s="18">
        <v>45913</v>
      </c>
      <c r="B5" s="15" t="s">
        <v>5</v>
      </c>
      <c r="C5" s="15" t="s">
        <v>0</v>
      </c>
      <c r="D5" s="34">
        <v>882.43</v>
      </c>
      <c r="E5" s="15" t="s">
        <v>74</v>
      </c>
      <c r="F5" s="15" t="s">
        <v>5</v>
      </c>
      <c r="G5" s="17">
        <v>45901</v>
      </c>
      <c r="H5" s="15"/>
      <c r="I5" s="15"/>
      <c r="J5" s="19"/>
      <c r="K5" s="10" t="s">
        <v>72</v>
      </c>
      <c r="M5" t="s">
        <v>75</v>
      </c>
      <c r="N5"/>
      <c r="O5">
        <v>441.5</v>
      </c>
    </row>
    <row r="6" spans="1:15" hidden="1" x14ac:dyDescent="0.3">
      <c r="A6" s="18">
        <v>45901</v>
      </c>
      <c r="B6" s="15" t="s">
        <v>76</v>
      </c>
      <c r="C6" s="15" t="s">
        <v>0</v>
      </c>
      <c r="D6" s="34">
        <v>614.04999999999995</v>
      </c>
      <c r="E6" s="15" t="s">
        <v>74</v>
      </c>
      <c r="F6" s="15" t="s">
        <v>1</v>
      </c>
      <c r="G6" s="17">
        <v>45901</v>
      </c>
      <c r="H6" s="15"/>
      <c r="I6" s="15"/>
      <c r="J6" s="15"/>
      <c r="K6" s="10" t="s">
        <v>72</v>
      </c>
      <c r="M6" t="s">
        <v>74</v>
      </c>
      <c r="N6" t="s">
        <v>1</v>
      </c>
      <c r="O6">
        <v>614.04999999999995</v>
      </c>
    </row>
    <row r="7" spans="1:15" hidden="1" x14ac:dyDescent="0.3">
      <c r="A7" s="18">
        <v>45916</v>
      </c>
      <c r="B7" s="15" t="s">
        <v>5</v>
      </c>
      <c r="C7" s="15" t="s">
        <v>0</v>
      </c>
      <c r="D7" s="34">
        <v>676.25</v>
      </c>
      <c r="E7" s="15" t="s">
        <v>74</v>
      </c>
      <c r="F7" s="15" t="s">
        <v>5</v>
      </c>
      <c r="G7" s="17">
        <v>45901</v>
      </c>
      <c r="H7" s="19">
        <v>45916</v>
      </c>
      <c r="I7" s="19">
        <v>45916</v>
      </c>
      <c r="J7" s="19" t="s">
        <v>77</v>
      </c>
      <c r="M7"/>
      <c r="N7" t="s">
        <v>5</v>
      </c>
      <c r="O7">
        <v>4870.5</v>
      </c>
    </row>
    <row r="8" spans="1:15" hidden="1" x14ac:dyDescent="0.3">
      <c r="A8" s="18">
        <v>45919</v>
      </c>
      <c r="B8" s="15" t="s">
        <v>5</v>
      </c>
      <c r="C8" s="15" t="s">
        <v>0</v>
      </c>
      <c r="D8" s="34">
        <v>812.79</v>
      </c>
      <c r="E8" s="15" t="s">
        <v>74</v>
      </c>
      <c r="F8" s="15" t="s">
        <v>5</v>
      </c>
      <c r="G8" s="17">
        <v>45901</v>
      </c>
      <c r="H8" s="19">
        <v>45919</v>
      </c>
      <c r="I8" s="19">
        <v>45919</v>
      </c>
      <c r="J8" s="19" t="s">
        <v>77</v>
      </c>
      <c r="M8"/>
      <c r="N8" t="s">
        <v>3</v>
      </c>
      <c r="O8">
        <v>2000.8400000000001</v>
      </c>
    </row>
    <row r="9" spans="1:15" hidden="1" x14ac:dyDescent="0.3">
      <c r="A9" s="18">
        <v>45923</v>
      </c>
      <c r="B9" s="15" t="s">
        <v>5</v>
      </c>
      <c r="C9" s="15" t="s">
        <v>0</v>
      </c>
      <c r="D9" s="34">
        <v>724.83</v>
      </c>
      <c r="E9" s="15" t="s">
        <v>74</v>
      </c>
      <c r="F9" s="15" t="s">
        <v>5</v>
      </c>
      <c r="G9" s="17">
        <v>45901</v>
      </c>
      <c r="H9" s="19">
        <v>45923</v>
      </c>
      <c r="I9" s="19">
        <v>45923</v>
      </c>
      <c r="J9" s="19" t="s">
        <v>77</v>
      </c>
      <c r="M9" t="s">
        <v>78</v>
      </c>
      <c r="N9"/>
      <c r="O9">
        <v>7485.39</v>
      </c>
    </row>
    <row r="10" spans="1:15" x14ac:dyDescent="0.3">
      <c r="A10" s="18">
        <v>45924</v>
      </c>
      <c r="B10" s="15" t="s">
        <v>3</v>
      </c>
      <c r="C10" s="15" t="s">
        <v>0</v>
      </c>
      <c r="D10" s="34">
        <v>1000.39</v>
      </c>
      <c r="E10" s="15" t="s">
        <v>74</v>
      </c>
      <c r="F10" s="15" t="s">
        <v>3</v>
      </c>
      <c r="G10" s="17">
        <v>45901</v>
      </c>
      <c r="H10" s="19">
        <v>45924</v>
      </c>
      <c r="I10" s="19">
        <v>45924</v>
      </c>
      <c r="J10" s="19" t="s">
        <v>77</v>
      </c>
      <c r="M10" t="s">
        <v>71</v>
      </c>
      <c r="N10" t="s">
        <v>25</v>
      </c>
      <c r="O10">
        <v>484.9</v>
      </c>
    </row>
    <row r="11" spans="1:15" x14ac:dyDescent="0.3">
      <c r="A11" s="18"/>
      <c r="B11" s="15"/>
      <c r="C11" s="15"/>
      <c r="D11" s="27"/>
      <c r="E11" s="15"/>
      <c r="F11" s="15"/>
      <c r="G11" s="17"/>
      <c r="H11" s="21"/>
      <c r="I11" s="21"/>
      <c r="J11" s="19"/>
      <c r="M11"/>
      <c r="N11" t="s">
        <v>26</v>
      </c>
      <c r="O11">
        <v>1086.3800000000001</v>
      </c>
    </row>
    <row r="12" spans="1:15" x14ac:dyDescent="0.3">
      <c r="A12" s="18">
        <v>45924</v>
      </c>
      <c r="B12" s="15" t="s">
        <v>79</v>
      </c>
      <c r="C12" s="15" t="s">
        <v>80</v>
      </c>
      <c r="D12" s="34">
        <v>1086.3800000000001</v>
      </c>
      <c r="E12" s="15" t="s">
        <v>71</v>
      </c>
      <c r="F12" s="15" t="s">
        <v>26</v>
      </c>
      <c r="G12" s="17">
        <v>45901</v>
      </c>
      <c r="H12" s="21">
        <v>45925</v>
      </c>
      <c r="I12" s="21">
        <v>45925</v>
      </c>
      <c r="J12" s="19" t="s">
        <v>77</v>
      </c>
      <c r="M12"/>
      <c r="N12" t="s">
        <v>22</v>
      </c>
      <c r="O12">
        <v>6.09</v>
      </c>
    </row>
    <row r="13" spans="1:15" x14ac:dyDescent="0.3">
      <c r="A13" s="22">
        <v>45926</v>
      </c>
      <c r="B13" s="15" t="s">
        <v>81</v>
      </c>
      <c r="C13" s="15" t="s">
        <v>82</v>
      </c>
      <c r="D13" s="34">
        <v>441.5</v>
      </c>
      <c r="E13" s="15" t="s">
        <v>6</v>
      </c>
      <c r="F13" s="15" t="s">
        <v>16</v>
      </c>
      <c r="G13" s="17">
        <v>45901</v>
      </c>
      <c r="H13" s="19">
        <v>45929</v>
      </c>
      <c r="I13" s="19">
        <v>45929</v>
      </c>
      <c r="J13" s="19" t="s">
        <v>77</v>
      </c>
      <c r="M13" t="s">
        <v>83</v>
      </c>
      <c r="N13"/>
      <c r="O13">
        <v>1577.3700000000001</v>
      </c>
    </row>
    <row r="14" spans="1:15" x14ac:dyDescent="0.3">
      <c r="A14" s="18">
        <v>45929</v>
      </c>
      <c r="B14" s="15" t="s">
        <v>5</v>
      </c>
      <c r="C14" s="15" t="s">
        <v>0</v>
      </c>
      <c r="D14" s="34">
        <v>849.27</v>
      </c>
      <c r="E14" s="15" t="s">
        <v>74</v>
      </c>
      <c r="F14" s="15" t="s">
        <v>5</v>
      </c>
      <c r="G14" s="17">
        <v>45901</v>
      </c>
      <c r="H14" s="19">
        <v>45929</v>
      </c>
      <c r="I14" s="19">
        <v>45929</v>
      </c>
      <c r="J14" s="19" t="s">
        <v>77</v>
      </c>
      <c r="M14" t="s">
        <v>68</v>
      </c>
      <c r="N14" t="s">
        <v>20</v>
      </c>
      <c r="O14">
        <v>300</v>
      </c>
    </row>
    <row r="15" spans="1:15" x14ac:dyDescent="0.3">
      <c r="A15" s="18">
        <v>45929</v>
      </c>
      <c r="B15" s="15" t="s">
        <v>5</v>
      </c>
      <c r="C15" s="15" t="s">
        <v>0</v>
      </c>
      <c r="D15" s="34">
        <v>694.5</v>
      </c>
      <c r="E15" s="15" t="s">
        <v>74</v>
      </c>
      <c r="F15" s="15" t="s">
        <v>5</v>
      </c>
      <c r="G15" s="17">
        <v>45901</v>
      </c>
      <c r="H15" s="19">
        <v>45929</v>
      </c>
      <c r="I15" s="19">
        <v>45929</v>
      </c>
      <c r="J15" s="19" t="s">
        <v>77</v>
      </c>
      <c r="M15"/>
      <c r="N15" t="s">
        <v>21</v>
      </c>
      <c r="O15">
        <v>6000</v>
      </c>
    </row>
    <row r="16" spans="1:15" x14ac:dyDescent="0.3">
      <c r="A16" s="18">
        <v>45930</v>
      </c>
      <c r="B16" s="15" t="s">
        <v>3</v>
      </c>
      <c r="C16" s="15" t="s">
        <v>0</v>
      </c>
      <c r="D16" s="34">
        <v>1000.45</v>
      </c>
      <c r="E16" s="15" t="s">
        <v>0</v>
      </c>
      <c r="F16" s="15" t="s">
        <v>3</v>
      </c>
      <c r="G16" s="17">
        <v>45901</v>
      </c>
      <c r="H16" s="19">
        <v>45930</v>
      </c>
      <c r="I16" s="19">
        <v>45930</v>
      </c>
      <c r="J16" s="19" t="s">
        <v>77</v>
      </c>
      <c r="M16" t="s">
        <v>84</v>
      </c>
      <c r="N16"/>
      <c r="O16">
        <v>6300</v>
      </c>
    </row>
    <row r="17" spans="1:15" x14ac:dyDescent="0.3">
      <c r="A17" s="18">
        <v>45930</v>
      </c>
      <c r="B17" s="15" t="s">
        <v>85</v>
      </c>
      <c r="C17" s="15" t="s">
        <v>86</v>
      </c>
      <c r="D17" s="34">
        <v>419</v>
      </c>
      <c r="E17" s="15" t="s">
        <v>71</v>
      </c>
      <c r="F17" s="15" t="s">
        <v>25</v>
      </c>
      <c r="G17" s="17">
        <v>45901</v>
      </c>
      <c r="H17" s="19">
        <v>45930</v>
      </c>
      <c r="I17" s="19">
        <v>45930</v>
      </c>
      <c r="J17" s="19" t="s">
        <v>77</v>
      </c>
      <c r="M17" t="s">
        <v>87</v>
      </c>
      <c r="N17" t="s">
        <v>87</v>
      </c>
      <c r="O17"/>
    </row>
    <row r="18" spans="1:15" x14ac:dyDescent="0.3">
      <c r="A18" s="18"/>
      <c r="B18" s="15" t="s">
        <v>88</v>
      </c>
      <c r="C18" s="15" t="s">
        <v>21</v>
      </c>
      <c r="D18" s="27">
        <v>6000</v>
      </c>
      <c r="E18" s="15" t="s">
        <v>68</v>
      </c>
      <c r="F18" s="15" t="s">
        <v>21</v>
      </c>
      <c r="G18" s="17">
        <v>45901</v>
      </c>
      <c r="H18" s="21"/>
      <c r="I18" s="21"/>
      <c r="J18" s="19"/>
      <c r="M18" t="s">
        <v>89</v>
      </c>
      <c r="N18"/>
      <c r="O18"/>
    </row>
    <row r="19" spans="1:15" x14ac:dyDescent="0.3">
      <c r="A19" s="18">
        <v>45901</v>
      </c>
      <c r="B19" s="15" t="s">
        <v>3</v>
      </c>
      <c r="C19" s="15" t="s">
        <v>90</v>
      </c>
      <c r="D19" s="34">
        <v>6.09</v>
      </c>
      <c r="E19" s="15" t="s">
        <v>71</v>
      </c>
      <c r="F19" s="15" t="s">
        <v>22</v>
      </c>
      <c r="G19" s="17">
        <v>45901</v>
      </c>
      <c r="H19" s="15"/>
      <c r="I19" s="15"/>
      <c r="J19" s="15" t="s">
        <v>91</v>
      </c>
      <c r="M19" t="s">
        <v>92</v>
      </c>
      <c r="N19"/>
      <c r="O19">
        <v>15804.260000000002</v>
      </c>
    </row>
    <row r="20" spans="1:15" x14ac:dyDescent="0.3">
      <c r="A20" s="13"/>
      <c r="B20" s="15"/>
      <c r="C20" s="15"/>
      <c r="D20" s="16"/>
      <c r="E20" s="15"/>
      <c r="F20" s="15"/>
      <c r="G20" s="15"/>
      <c r="H20" s="15"/>
      <c r="I20" s="15"/>
      <c r="J20" s="15"/>
      <c r="M20"/>
      <c r="N20"/>
      <c r="O20"/>
    </row>
    <row r="21" spans="1:15" x14ac:dyDescent="0.3">
      <c r="A21" s="13"/>
      <c r="B21" s="15"/>
      <c r="C21" s="15"/>
      <c r="D21" s="16"/>
      <c r="E21" s="15"/>
      <c r="F21" s="15"/>
      <c r="G21" s="15"/>
      <c r="H21" s="15"/>
      <c r="I21" s="15"/>
      <c r="J21" s="15"/>
      <c r="N21"/>
    </row>
    <row r="22" spans="1:15" x14ac:dyDescent="0.3">
      <c r="A22" s="13"/>
      <c r="B22" s="15"/>
      <c r="C22" s="15"/>
      <c r="D22" s="16"/>
      <c r="E22" s="15"/>
      <c r="F22" s="15"/>
      <c r="G22" s="15"/>
      <c r="H22" s="15"/>
      <c r="I22" s="15"/>
      <c r="J22" s="15"/>
      <c r="N22"/>
    </row>
    <row r="23" spans="1:15" x14ac:dyDescent="0.3">
      <c r="A23" s="13"/>
      <c r="B23" s="15"/>
      <c r="C23" s="15"/>
      <c r="D23" s="16"/>
      <c r="E23" s="15"/>
      <c r="F23" s="15"/>
      <c r="G23" s="15"/>
      <c r="H23" s="15"/>
      <c r="I23" s="15"/>
      <c r="J23" s="15"/>
      <c r="M23" s="10" t="s">
        <v>93</v>
      </c>
      <c r="N23">
        <v>2077.9699999999998</v>
      </c>
    </row>
    <row r="24" spans="1:15" x14ac:dyDescent="0.3">
      <c r="A24" s="13"/>
      <c r="B24" s="15"/>
      <c r="C24" s="15"/>
      <c r="D24" s="16"/>
      <c r="E24" s="15"/>
      <c r="F24" s="15"/>
      <c r="G24" s="15"/>
      <c r="H24" s="15"/>
      <c r="I24" s="15"/>
      <c r="J24" s="15"/>
      <c r="N24"/>
    </row>
    <row r="25" spans="1:15" x14ac:dyDescent="0.3">
      <c r="A25" s="13"/>
      <c r="B25" s="15"/>
      <c r="C25" s="15"/>
      <c r="D25" s="16"/>
      <c r="E25" s="15"/>
      <c r="F25" s="15"/>
      <c r="G25" s="15"/>
      <c r="H25" s="15"/>
      <c r="I25" s="15"/>
      <c r="J25" s="15"/>
      <c r="N25"/>
    </row>
    <row r="26" spans="1:15" x14ac:dyDescent="0.3">
      <c r="A26" s="13"/>
      <c r="B26" s="15"/>
      <c r="C26" s="15"/>
      <c r="D26" s="16"/>
      <c r="E26" s="15"/>
      <c r="F26" s="15"/>
      <c r="G26" s="15"/>
      <c r="H26" s="15"/>
      <c r="I26" s="15"/>
      <c r="J26" s="15"/>
      <c r="N26"/>
    </row>
    <row r="27" spans="1:15" x14ac:dyDescent="0.3">
      <c r="A27" s="13"/>
      <c r="B27" s="15"/>
      <c r="C27" s="15"/>
      <c r="D27" s="16"/>
      <c r="E27" s="15"/>
      <c r="F27" s="15"/>
      <c r="G27" s="15"/>
      <c r="H27" s="15"/>
      <c r="I27" s="15"/>
      <c r="J27" s="15"/>
      <c r="N27"/>
    </row>
    <row r="28" spans="1:15" x14ac:dyDescent="0.3">
      <c r="A28" s="13"/>
      <c r="B28" s="15"/>
      <c r="C28" s="15"/>
      <c r="D28" s="16"/>
      <c r="E28" s="15"/>
      <c r="F28" s="15"/>
      <c r="G28" s="15"/>
      <c r="H28" s="15"/>
      <c r="I28" s="15"/>
      <c r="J28" s="15"/>
      <c r="N28"/>
    </row>
    <row r="29" spans="1:15" x14ac:dyDescent="0.3">
      <c r="A29" s="13"/>
      <c r="B29" s="15"/>
      <c r="C29" s="15"/>
      <c r="D29" s="16"/>
      <c r="E29" s="15"/>
      <c r="F29" s="15"/>
      <c r="G29" s="15"/>
      <c r="H29" s="15"/>
      <c r="I29" s="15"/>
      <c r="J29" s="15"/>
      <c r="N29"/>
    </row>
    <row r="30" spans="1:15" x14ac:dyDescent="0.3">
      <c r="A30" s="13"/>
      <c r="B30" s="15"/>
      <c r="C30" s="15"/>
      <c r="D30" s="16"/>
      <c r="E30" s="15"/>
      <c r="F30" s="15"/>
      <c r="G30" s="15"/>
      <c r="H30" s="15"/>
      <c r="I30" s="15"/>
      <c r="J30" s="15"/>
      <c r="N30"/>
    </row>
    <row r="31" spans="1:15" x14ac:dyDescent="0.3">
      <c r="A31" s="13"/>
      <c r="B31" s="15"/>
      <c r="C31" s="15"/>
      <c r="D31" s="16"/>
      <c r="E31" s="15"/>
      <c r="F31" s="15"/>
      <c r="G31" s="15"/>
      <c r="H31" s="15"/>
      <c r="I31" s="15"/>
      <c r="J31" s="15"/>
      <c r="N31"/>
    </row>
    <row r="32" spans="1:15" x14ac:dyDescent="0.3">
      <c r="A32" s="13"/>
      <c r="B32" s="15"/>
      <c r="C32" s="15"/>
      <c r="D32" s="16"/>
      <c r="E32" s="15"/>
      <c r="F32" s="15"/>
      <c r="G32" s="15"/>
      <c r="H32" s="15"/>
      <c r="I32" s="15"/>
      <c r="J32" s="15"/>
      <c r="N32"/>
    </row>
    <row r="33" spans="1:14" x14ac:dyDescent="0.3">
      <c r="A33" s="13"/>
      <c r="B33" s="15"/>
      <c r="C33" s="15"/>
      <c r="D33" s="16"/>
      <c r="E33" s="15"/>
      <c r="F33" s="15"/>
      <c r="G33" s="15"/>
      <c r="H33" s="15"/>
      <c r="I33" s="15"/>
      <c r="J33" s="15"/>
      <c r="N33"/>
    </row>
    <row r="34" spans="1:14" x14ac:dyDescent="0.3">
      <c r="A34" s="13"/>
      <c r="B34" s="15"/>
      <c r="C34" s="15"/>
      <c r="D34" s="16"/>
      <c r="E34" s="15"/>
      <c r="F34" s="15"/>
      <c r="G34" s="15"/>
      <c r="H34" s="15"/>
      <c r="I34" s="15"/>
      <c r="J34" s="15"/>
      <c r="N34"/>
    </row>
    <row r="35" spans="1:14" x14ac:dyDescent="0.3">
      <c r="A35" s="13"/>
      <c r="B35" s="15"/>
      <c r="C35" s="15"/>
      <c r="D35" s="16"/>
      <c r="E35" s="15"/>
      <c r="F35" s="15"/>
      <c r="G35" s="15"/>
      <c r="H35" s="15"/>
      <c r="I35" s="15"/>
      <c r="J35" s="15"/>
      <c r="N35"/>
    </row>
    <row r="36" spans="1:14" x14ac:dyDescent="0.3">
      <c r="A36" s="13"/>
      <c r="B36" s="15"/>
      <c r="C36" s="15"/>
      <c r="D36" s="16"/>
      <c r="E36" s="15"/>
      <c r="F36" s="15"/>
      <c r="G36" s="15"/>
      <c r="H36" s="15"/>
      <c r="I36" s="15"/>
      <c r="J36" s="15"/>
      <c r="N36"/>
    </row>
    <row r="37" spans="1:14" x14ac:dyDescent="0.3">
      <c r="A37" s="13"/>
      <c r="B37" s="15"/>
      <c r="C37" s="15"/>
      <c r="D37" s="16"/>
      <c r="E37" s="15"/>
      <c r="F37" s="15"/>
      <c r="G37" s="15"/>
      <c r="H37" s="15"/>
      <c r="I37" s="15"/>
      <c r="J37" s="15"/>
      <c r="N37"/>
    </row>
    <row r="38" spans="1:14" x14ac:dyDescent="0.3">
      <c r="A38" s="13"/>
      <c r="B38" s="15"/>
      <c r="C38" s="15"/>
      <c r="D38" s="16"/>
      <c r="E38" s="15"/>
      <c r="F38" s="15"/>
      <c r="G38" s="15"/>
      <c r="H38" s="15"/>
      <c r="I38" s="15"/>
      <c r="J38" s="15"/>
      <c r="N38"/>
    </row>
    <row r="39" spans="1:14" x14ac:dyDescent="0.3">
      <c r="A39" s="13"/>
      <c r="B39" s="15"/>
      <c r="C39" s="15"/>
      <c r="D39" s="16"/>
      <c r="E39" s="15"/>
      <c r="F39" s="15"/>
      <c r="G39" s="15"/>
      <c r="H39" s="15"/>
      <c r="I39" s="15"/>
      <c r="J39" s="15"/>
      <c r="N39"/>
    </row>
    <row r="40" spans="1:14" x14ac:dyDescent="0.3">
      <c r="A40" s="13"/>
      <c r="B40" s="15"/>
      <c r="C40" s="15"/>
      <c r="D40" s="16"/>
      <c r="E40" s="15"/>
      <c r="F40" s="15"/>
      <c r="G40" s="15"/>
      <c r="H40" s="15"/>
      <c r="I40" s="15"/>
      <c r="J40" s="15"/>
      <c r="N40"/>
    </row>
    <row r="41" spans="1:14" x14ac:dyDescent="0.3">
      <c r="A41" s="13"/>
      <c r="B41" s="15"/>
      <c r="C41" s="15"/>
      <c r="D41" s="16"/>
      <c r="E41" s="15"/>
      <c r="F41" s="15"/>
      <c r="G41" s="15"/>
      <c r="H41" s="15"/>
      <c r="I41" s="15"/>
      <c r="J41" s="15"/>
      <c r="N41"/>
    </row>
    <row r="42" spans="1:14" x14ac:dyDescent="0.3">
      <c r="A42" s="13"/>
      <c r="B42" s="15"/>
      <c r="C42" s="15"/>
      <c r="D42" s="16"/>
      <c r="E42" s="15"/>
      <c r="F42" s="15"/>
      <c r="G42" s="15"/>
      <c r="H42" s="15"/>
      <c r="I42" s="15"/>
      <c r="J42" s="15"/>
      <c r="N42"/>
    </row>
    <row r="43" spans="1:14" x14ac:dyDescent="0.3">
      <c r="A43" s="13"/>
      <c r="B43" s="15"/>
      <c r="C43" s="15"/>
      <c r="D43" s="16"/>
      <c r="E43" s="15"/>
      <c r="F43" s="15"/>
      <c r="G43" s="15"/>
      <c r="H43" s="15"/>
      <c r="I43" s="15"/>
      <c r="J43" s="15"/>
      <c r="N43"/>
    </row>
    <row r="44" spans="1:14" x14ac:dyDescent="0.3">
      <c r="A44" s="13"/>
      <c r="B44" s="15"/>
      <c r="C44" s="15"/>
      <c r="D44" s="16"/>
      <c r="E44" s="15"/>
      <c r="F44" s="15"/>
      <c r="G44" s="15"/>
      <c r="H44" s="15"/>
      <c r="I44" s="15"/>
      <c r="J44" s="15"/>
      <c r="N44"/>
    </row>
  </sheetData>
  <autoFilter ref="A1:J10" xr:uid="{923774B3-2EAE-4446-B48C-2896284359F8}">
    <filterColumn colId="1">
      <filters>
        <filter val="Meta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1B0B5B-8A70-4BB8-A61C-4EFF4F2D0CBF}">
          <x14:formula1>
            <xm:f>Planilha1!$B$2:$B$8</xm:f>
          </x14:formula1>
          <xm:sqref>F45:F1048576 E1:E1048576</xm:sqref>
        </x14:dataValidation>
        <x14:dataValidation type="list" allowBlank="1" showInputMessage="1" showErrorMessage="1" xr:uid="{9C304A96-7102-42F8-BA95-F3AADEC2DDDA}">
          <x14:formula1>
            <xm:f>Planilha1!$G$2:$G$22</xm:f>
          </x14:formula1>
          <xm:sqref>F2:F44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16F7-F3E4-48BA-BD59-399BC0F721E9}">
  <dimension ref="A1:S42"/>
  <sheetViews>
    <sheetView showGridLines="0" topLeftCell="B1" workbookViewId="0">
      <selection activeCell="D22" sqref="D22"/>
    </sheetView>
  </sheetViews>
  <sheetFormatPr defaultColWidth="9.109375" defaultRowHeight="14.4" x14ac:dyDescent="0.3"/>
  <cols>
    <col min="1" max="1" width="13.109375" style="12" customWidth="1"/>
    <col min="2" max="2" width="34" style="10" customWidth="1"/>
    <col min="3" max="3" width="40.5546875" style="10" customWidth="1"/>
    <col min="4" max="4" width="10.88671875" style="11" customWidth="1"/>
    <col min="5" max="5" width="26.109375" style="10" customWidth="1"/>
    <col min="6" max="6" width="30.33203125" style="10" customWidth="1"/>
    <col min="7" max="7" width="15.109375" style="10" customWidth="1"/>
    <col min="8" max="8" width="11.44140625" style="10" bestFit="1" customWidth="1"/>
    <col min="9" max="9" width="10.5546875" style="10" bestFit="1" customWidth="1"/>
    <col min="10" max="11" width="10.5546875" style="10" customWidth="1"/>
    <col min="12" max="13" width="9.109375" style="10"/>
    <col min="14" max="14" width="26.88671875" style="10" bestFit="1" customWidth="1"/>
    <col min="15" max="15" width="24" style="10" bestFit="1" customWidth="1"/>
    <col min="16" max="16" width="13.88671875" style="10" bestFit="1" customWidth="1"/>
    <col min="17" max="18" width="42.33203125" style="10" bestFit="1" customWidth="1"/>
    <col min="19" max="19" width="13.88671875" style="10" bestFit="1" customWidth="1"/>
    <col min="20" max="16384" width="9.109375" style="10"/>
  </cols>
  <sheetData>
    <row r="1" spans="1:19" s="12" customFormat="1" x14ac:dyDescent="0.3">
      <c r="A1" s="13" t="s">
        <v>56</v>
      </c>
      <c r="B1" s="13" t="s">
        <v>57</v>
      </c>
      <c r="C1" s="13" t="s">
        <v>58</v>
      </c>
      <c r="D1" s="14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N1"/>
    </row>
    <row r="2" spans="1:19" x14ac:dyDescent="0.3">
      <c r="A2" s="18">
        <v>45931</v>
      </c>
      <c r="B2" s="15" t="s">
        <v>94</v>
      </c>
      <c r="C2" s="15" t="s">
        <v>95</v>
      </c>
      <c r="D2" s="34">
        <v>507.5</v>
      </c>
      <c r="E2" s="15" t="s">
        <v>6</v>
      </c>
      <c r="F2" s="15" t="s">
        <v>16</v>
      </c>
      <c r="G2" s="17">
        <v>45931</v>
      </c>
      <c r="H2" s="21">
        <v>45931</v>
      </c>
      <c r="I2" s="21">
        <v>45932</v>
      </c>
      <c r="J2" s="19" t="s">
        <v>77</v>
      </c>
      <c r="K2" s="40"/>
      <c r="N2"/>
    </row>
    <row r="3" spans="1:19" x14ac:dyDescent="0.3">
      <c r="A3" s="18">
        <v>45931</v>
      </c>
      <c r="B3" s="15" t="s">
        <v>96</v>
      </c>
      <c r="C3" s="15" t="s">
        <v>95</v>
      </c>
      <c r="D3" s="34">
        <v>259.8</v>
      </c>
      <c r="E3" s="15" t="s">
        <v>6</v>
      </c>
      <c r="F3" s="15" t="s">
        <v>16</v>
      </c>
      <c r="G3" s="17">
        <v>45931</v>
      </c>
      <c r="H3" s="21">
        <v>45931</v>
      </c>
      <c r="I3" s="21">
        <v>45932</v>
      </c>
      <c r="J3" s="19" t="s">
        <v>77</v>
      </c>
      <c r="K3" s="40"/>
      <c r="N3" s="39" t="s">
        <v>60</v>
      </c>
      <c r="O3" s="39" t="s">
        <v>61</v>
      </c>
      <c r="P3" t="s">
        <v>73</v>
      </c>
    </row>
    <row r="4" spans="1:19" x14ac:dyDescent="0.3">
      <c r="A4" s="18">
        <v>45931</v>
      </c>
      <c r="B4" s="15" t="s">
        <v>76</v>
      </c>
      <c r="C4" s="15" t="s">
        <v>0</v>
      </c>
      <c r="D4" s="34">
        <v>1846.5</v>
      </c>
      <c r="E4" s="15" t="s">
        <v>74</v>
      </c>
      <c r="F4" s="15" t="s">
        <v>1</v>
      </c>
      <c r="G4" s="17">
        <v>45931</v>
      </c>
      <c r="H4" s="21">
        <v>45931</v>
      </c>
      <c r="I4" s="21">
        <v>45931</v>
      </c>
      <c r="J4" s="19" t="s">
        <v>77</v>
      </c>
      <c r="K4" s="40"/>
      <c r="N4" t="s">
        <v>8</v>
      </c>
      <c r="O4" t="s">
        <v>17</v>
      </c>
      <c r="P4">
        <v>1622</v>
      </c>
    </row>
    <row r="5" spans="1:19" x14ac:dyDescent="0.3">
      <c r="A5" s="18">
        <v>45931</v>
      </c>
      <c r="B5" s="15" t="s">
        <v>5</v>
      </c>
      <c r="C5" s="15" t="s">
        <v>0</v>
      </c>
      <c r="D5" s="34">
        <v>321.94</v>
      </c>
      <c r="E5" s="15" t="s">
        <v>74</v>
      </c>
      <c r="F5" s="15" t="s">
        <v>5</v>
      </c>
      <c r="G5" s="17">
        <v>45931</v>
      </c>
      <c r="H5" s="21">
        <v>45932</v>
      </c>
      <c r="I5" s="21">
        <v>45932</v>
      </c>
      <c r="J5" s="19" t="s">
        <v>77</v>
      </c>
      <c r="K5" s="40"/>
      <c r="N5"/>
      <c r="O5" t="s">
        <v>18</v>
      </c>
      <c r="P5">
        <v>2010.5</v>
      </c>
    </row>
    <row r="6" spans="1:19" x14ac:dyDescent="0.3">
      <c r="A6" s="18">
        <v>45932</v>
      </c>
      <c r="B6" s="15" t="s">
        <v>97</v>
      </c>
      <c r="C6" s="15" t="s">
        <v>98</v>
      </c>
      <c r="D6" s="34">
        <v>180</v>
      </c>
      <c r="E6" s="15" t="s">
        <v>6</v>
      </c>
      <c r="F6" s="15" t="s">
        <v>16</v>
      </c>
      <c r="G6" s="17">
        <v>45931</v>
      </c>
      <c r="H6" s="21">
        <v>45932</v>
      </c>
      <c r="I6" s="21">
        <v>45932</v>
      </c>
      <c r="J6" s="19" t="s">
        <v>77</v>
      </c>
      <c r="K6" s="40"/>
      <c r="N6" t="s">
        <v>99</v>
      </c>
      <c r="O6"/>
      <c r="P6">
        <v>3632.5</v>
      </c>
    </row>
    <row r="7" spans="1:19" x14ac:dyDescent="0.3">
      <c r="A7" s="18">
        <v>45936</v>
      </c>
      <c r="B7" s="15" t="s">
        <v>100</v>
      </c>
      <c r="C7" s="15" t="s">
        <v>101</v>
      </c>
      <c r="D7" s="34">
        <v>475</v>
      </c>
      <c r="E7" s="15" t="s">
        <v>8</v>
      </c>
      <c r="F7" s="15" t="s">
        <v>18</v>
      </c>
      <c r="G7" s="17">
        <v>45931</v>
      </c>
      <c r="H7" s="21">
        <v>45936</v>
      </c>
      <c r="I7" s="21">
        <v>45936</v>
      </c>
      <c r="J7" s="19" t="s">
        <v>77</v>
      </c>
      <c r="K7" s="40"/>
      <c r="N7" t="s">
        <v>6</v>
      </c>
      <c r="O7" t="s">
        <v>16</v>
      </c>
      <c r="P7">
        <v>1096.3</v>
      </c>
    </row>
    <row r="8" spans="1:19" x14ac:dyDescent="0.3">
      <c r="A8" s="18">
        <v>45939</v>
      </c>
      <c r="B8" s="15" t="s">
        <v>102</v>
      </c>
      <c r="C8" s="15" t="s">
        <v>103</v>
      </c>
      <c r="D8" s="34">
        <v>149</v>
      </c>
      <c r="E8" s="15" t="s">
        <v>6</v>
      </c>
      <c r="F8" s="15" t="s">
        <v>16</v>
      </c>
      <c r="G8" s="17">
        <v>45939</v>
      </c>
      <c r="H8" s="19">
        <v>45939</v>
      </c>
      <c r="I8" s="19">
        <v>45939</v>
      </c>
      <c r="J8" s="19" t="s">
        <v>77</v>
      </c>
      <c r="K8" s="40"/>
      <c r="N8" t="s">
        <v>75</v>
      </c>
      <c r="O8"/>
      <c r="P8">
        <v>1096.3</v>
      </c>
    </row>
    <row r="9" spans="1:19" x14ac:dyDescent="0.3">
      <c r="A9" s="18">
        <v>45939</v>
      </c>
      <c r="B9" s="15" t="s">
        <v>104</v>
      </c>
      <c r="C9" s="15" t="s">
        <v>105</v>
      </c>
      <c r="D9" s="34">
        <v>441.5</v>
      </c>
      <c r="E9" s="15" t="s">
        <v>8</v>
      </c>
      <c r="F9" s="15" t="s">
        <v>18</v>
      </c>
      <c r="G9" s="17">
        <v>45939</v>
      </c>
      <c r="H9" s="19">
        <v>45939</v>
      </c>
      <c r="I9" s="19">
        <v>45939</v>
      </c>
      <c r="J9" s="19" t="s">
        <v>77</v>
      </c>
      <c r="K9" s="40"/>
      <c r="N9" t="s">
        <v>74</v>
      </c>
      <c r="O9" t="s">
        <v>1</v>
      </c>
      <c r="P9">
        <v>1846.5</v>
      </c>
      <c r="Q9"/>
      <c r="R9"/>
      <c r="S9"/>
    </row>
    <row r="10" spans="1:19" x14ac:dyDescent="0.3">
      <c r="A10" s="18">
        <v>45939</v>
      </c>
      <c r="B10" s="15" t="s">
        <v>106</v>
      </c>
      <c r="C10" s="15" t="s">
        <v>107</v>
      </c>
      <c r="D10" s="34">
        <v>790</v>
      </c>
      <c r="E10" s="15" t="s">
        <v>8</v>
      </c>
      <c r="F10" s="15" t="s">
        <v>18</v>
      </c>
      <c r="G10" s="17">
        <v>45939</v>
      </c>
      <c r="H10" s="19">
        <v>45939</v>
      </c>
      <c r="I10" s="19">
        <v>45939</v>
      </c>
      <c r="J10" s="32">
        <v>1678</v>
      </c>
      <c r="K10" s="41"/>
      <c r="N10"/>
      <c r="O10" t="s">
        <v>5</v>
      </c>
      <c r="P10">
        <v>321.94</v>
      </c>
      <c r="Q10"/>
      <c r="R10"/>
      <c r="S10"/>
    </row>
    <row r="11" spans="1:19" x14ac:dyDescent="0.3">
      <c r="A11" s="18"/>
      <c r="B11" s="15"/>
      <c r="C11" s="15"/>
      <c r="D11" s="27"/>
      <c r="E11" s="15"/>
      <c r="F11" s="15"/>
      <c r="G11" s="17"/>
      <c r="H11" s="19"/>
      <c r="I11" s="19"/>
      <c r="J11" s="19"/>
      <c r="K11" s="40"/>
      <c r="N11"/>
      <c r="O11" t="s">
        <v>3</v>
      </c>
      <c r="P11">
        <v>112.53</v>
      </c>
      <c r="Q11"/>
      <c r="R11"/>
      <c r="S11"/>
    </row>
    <row r="12" spans="1:19" x14ac:dyDescent="0.3">
      <c r="A12" s="18">
        <v>45951</v>
      </c>
      <c r="B12" s="15" t="s">
        <v>108</v>
      </c>
      <c r="C12" s="15" t="s">
        <v>109</v>
      </c>
      <c r="D12" s="34">
        <v>434</v>
      </c>
      <c r="E12" s="15" t="s">
        <v>8</v>
      </c>
      <c r="F12" s="15" t="s">
        <v>17</v>
      </c>
      <c r="G12" s="17">
        <v>45951</v>
      </c>
      <c r="H12" s="21" t="s">
        <v>110</v>
      </c>
      <c r="I12" s="21" t="s">
        <v>111</v>
      </c>
      <c r="J12" s="19" t="s">
        <v>77</v>
      </c>
      <c r="K12" s="40"/>
      <c r="N12" t="s">
        <v>78</v>
      </c>
      <c r="O12"/>
      <c r="P12">
        <v>2280.9700000000003</v>
      </c>
      <c r="Q12"/>
      <c r="R12"/>
      <c r="S12"/>
    </row>
    <row r="13" spans="1:19" x14ac:dyDescent="0.3">
      <c r="A13" s="18">
        <v>45953</v>
      </c>
      <c r="B13" s="15" t="s">
        <v>112</v>
      </c>
      <c r="C13" s="15" t="s">
        <v>113</v>
      </c>
      <c r="D13" s="34">
        <v>186.15</v>
      </c>
      <c r="E13" s="15" t="s">
        <v>71</v>
      </c>
      <c r="F13" s="15" t="s">
        <v>25</v>
      </c>
      <c r="G13" s="17">
        <v>45951</v>
      </c>
      <c r="H13" s="21" t="s">
        <v>114</v>
      </c>
      <c r="I13" s="21" t="s">
        <v>114</v>
      </c>
      <c r="J13" s="19" t="s">
        <v>77</v>
      </c>
      <c r="K13" s="40"/>
      <c r="N13" t="s">
        <v>71</v>
      </c>
      <c r="O13" t="s">
        <v>25</v>
      </c>
      <c r="P13">
        <v>424.62000000000006</v>
      </c>
      <c r="Q13"/>
      <c r="R13"/>
      <c r="S13"/>
    </row>
    <row r="14" spans="1:19" x14ac:dyDescent="0.3">
      <c r="A14" s="18">
        <v>45958</v>
      </c>
      <c r="B14" s="15" t="s">
        <v>115</v>
      </c>
      <c r="C14" s="15" t="s">
        <v>116</v>
      </c>
      <c r="D14" s="34">
        <v>162.66</v>
      </c>
      <c r="E14" s="15" t="s">
        <v>71</v>
      </c>
      <c r="F14" s="15" t="s">
        <v>25</v>
      </c>
      <c r="G14" s="17">
        <v>45951</v>
      </c>
      <c r="H14" s="19">
        <v>45958</v>
      </c>
      <c r="I14" s="19">
        <v>45958</v>
      </c>
      <c r="J14" s="19" t="s">
        <v>77</v>
      </c>
      <c r="K14" s="40"/>
      <c r="N14"/>
      <c r="O14" t="s">
        <v>26</v>
      </c>
      <c r="P14">
        <v>5595.2</v>
      </c>
      <c r="Q14"/>
      <c r="R14"/>
      <c r="S14"/>
    </row>
    <row r="15" spans="1:19" x14ac:dyDescent="0.3">
      <c r="A15" s="18">
        <v>45952</v>
      </c>
      <c r="B15" s="15" t="s">
        <v>117</v>
      </c>
      <c r="C15" s="15" t="s">
        <v>109</v>
      </c>
      <c r="D15" s="34">
        <v>1188</v>
      </c>
      <c r="E15" s="15" t="s">
        <v>8</v>
      </c>
      <c r="F15" s="15" t="s">
        <v>17</v>
      </c>
      <c r="G15" s="17">
        <v>45960</v>
      </c>
      <c r="H15" s="19">
        <v>45952</v>
      </c>
      <c r="I15" s="19">
        <v>45952</v>
      </c>
      <c r="J15" s="19" t="s">
        <v>77</v>
      </c>
      <c r="K15" s="40"/>
      <c r="N15" t="s">
        <v>83</v>
      </c>
      <c r="O15"/>
      <c r="P15">
        <v>6019.82</v>
      </c>
      <c r="Q15"/>
      <c r="R15"/>
      <c r="S15"/>
    </row>
    <row r="16" spans="1:19" x14ac:dyDescent="0.3">
      <c r="A16" s="18">
        <v>45960</v>
      </c>
      <c r="B16" s="15" t="s">
        <v>118</v>
      </c>
      <c r="C16" s="15" t="s">
        <v>119</v>
      </c>
      <c r="D16" s="34">
        <v>304</v>
      </c>
      <c r="E16" s="15" t="s">
        <v>8</v>
      </c>
      <c r="F16" s="15" t="s">
        <v>18</v>
      </c>
      <c r="G16" s="17">
        <v>45960</v>
      </c>
      <c r="H16" s="19">
        <v>45967</v>
      </c>
      <c r="I16" s="19">
        <v>45967</v>
      </c>
      <c r="J16" s="19" t="s">
        <v>77</v>
      </c>
      <c r="K16" s="40"/>
      <c r="N16" t="s">
        <v>120</v>
      </c>
      <c r="O16" t="s">
        <v>121</v>
      </c>
      <c r="P16">
        <v>618.41</v>
      </c>
      <c r="Q16"/>
      <c r="R16"/>
      <c r="S16"/>
    </row>
    <row r="17" spans="1:19" x14ac:dyDescent="0.3">
      <c r="A17" s="18">
        <v>45941</v>
      </c>
      <c r="B17" s="15" t="s">
        <v>122</v>
      </c>
      <c r="C17" s="15" t="s">
        <v>123</v>
      </c>
      <c r="D17" s="34">
        <v>618.41</v>
      </c>
      <c r="E17" s="15" t="s">
        <v>120</v>
      </c>
      <c r="F17" s="15" t="s">
        <v>121</v>
      </c>
      <c r="G17" s="17">
        <v>45960</v>
      </c>
      <c r="H17" s="19">
        <v>45941</v>
      </c>
      <c r="I17" s="19">
        <v>45941</v>
      </c>
      <c r="J17" s="19" t="s">
        <v>77</v>
      </c>
      <c r="K17" s="40"/>
      <c r="N17"/>
      <c r="O17" t="s">
        <v>14</v>
      </c>
      <c r="P17">
        <v>31900</v>
      </c>
      <c r="Q17"/>
      <c r="R17"/>
      <c r="S17"/>
    </row>
    <row r="18" spans="1:19" x14ac:dyDescent="0.3">
      <c r="A18" s="18">
        <v>45931</v>
      </c>
      <c r="B18" s="15" t="s">
        <v>69</v>
      </c>
      <c r="C18" s="15" t="s">
        <v>70</v>
      </c>
      <c r="D18" s="34">
        <v>65.900000000000006</v>
      </c>
      <c r="E18" s="15" t="s">
        <v>71</v>
      </c>
      <c r="F18" s="15" t="s">
        <v>25</v>
      </c>
      <c r="G18" s="17">
        <v>45960</v>
      </c>
      <c r="H18" s="15"/>
      <c r="I18" s="15"/>
      <c r="J18" s="19" t="s">
        <v>77</v>
      </c>
      <c r="K18" s="40"/>
      <c r="N18" t="s">
        <v>124</v>
      </c>
      <c r="O18"/>
      <c r="P18">
        <v>32518.41</v>
      </c>
      <c r="Q18"/>
      <c r="R18"/>
      <c r="S18"/>
    </row>
    <row r="19" spans="1:19" x14ac:dyDescent="0.3">
      <c r="A19" s="18">
        <v>45931</v>
      </c>
      <c r="B19" s="15" t="s">
        <v>3</v>
      </c>
      <c r="C19" s="15" t="s">
        <v>90</v>
      </c>
      <c r="D19" s="34">
        <v>9.91</v>
      </c>
      <c r="E19" s="15" t="s">
        <v>71</v>
      </c>
      <c r="F19" s="15" t="s">
        <v>25</v>
      </c>
      <c r="G19" s="17">
        <v>45960</v>
      </c>
      <c r="H19" s="15"/>
      <c r="I19" s="15"/>
      <c r="J19" s="15" t="s">
        <v>91</v>
      </c>
      <c r="N19" t="s">
        <v>87</v>
      </c>
      <c r="O19" t="s">
        <v>87</v>
      </c>
      <c r="P19"/>
      <c r="Q19"/>
      <c r="R19"/>
      <c r="S19"/>
    </row>
    <row r="20" spans="1:19" x14ac:dyDescent="0.3">
      <c r="A20" s="13"/>
      <c r="B20" s="15" t="s">
        <v>125</v>
      </c>
      <c r="C20" s="15" t="s">
        <v>126</v>
      </c>
      <c r="D20" s="34">
        <f>5274.2+321</f>
        <v>5595.2</v>
      </c>
      <c r="E20" s="15" t="s">
        <v>71</v>
      </c>
      <c r="F20" s="15" t="s">
        <v>26</v>
      </c>
      <c r="G20" s="17">
        <v>45960</v>
      </c>
      <c r="H20" s="15"/>
      <c r="I20" s="15"/>
      <c r="J20" s="15" t="s">
        <v>77</v>
      </c>
      <c r="N20" t="s">
        <v>89</v>
      </c>
      <c r="O20"/>
      <c r="P20"/>
      <c r="Q20"/>
      <c r="R20"/>
      <c r="S20"/>
    </row>
    <row r="21" spans="1:19" x14ac:dyDescent="0.3">
      <c r="A21" s="22">
        <v>46001</v>
      </c>
      <c r="B21" s="15" t="s">
        <v>127</v>
      </c>
      <c r="C21" s="15" t="s">
        <v>128</v>
      </c>
      <c r="D21" s="34">
        <v>31900</v>
      </c>
      <c r="E21" s="15" t="s">
        <v>120</v>
      </c>
      <c r="F21" s="15" t="s">
        <v>14</v>
      </c>
      <c r="G21" s="17">
        <v>45960</v>
      </c>
      <c r="H21" s="15"/>
      <c r="I21" s="15"/>
      <c r="J21" s="15" t="s">
        <v>91</v>
      </c>
      <c r="K21" s="10" t="s">
        <v>129</v>
      </c>
      <c r="L21" s="35" t="s">
        <v>130</v>
      </c>
      <c r="N21" t="s">
        <v>92</v>
      </c>
      <c r="O21"/>
      <c r="P21">
        <v>45548</v>
      </c>
      <c r="Q21"/>
      <c r="R21"/>
      <c r="S21"/>
    </row>
    <row r="22" spans="1:19" x14ac:dyDescent="0.3">
      <c r="A22" s="22">
        <v>45943</v>
      </c>
      <c r="B22" s="15" t="s">
        <v>3</v>
      </c>
      <c r="C22" s="15" t="s">
        <v>0</v>
      </c>
      <c r="D22" s="34">
        <v>112.53</v>
      </c>
      <c r="E22" s="15" t="s">
        <v>74</v>
      </c>
      <c r="F22" s="15" t="s">
        <v>3</v>
      </c>
      <c r="G22" s="17">
        <v>45939</v>
      </c>
      <c r="H22" s="15"/>
      <c r="I22" s="15"/>
      <c r="J22" s="15"/>
      <c r="O22"/>
      <c r="Q22"/>
      <c r="R22"/>
      <c r="S22"/>
    </row>
    <row r="23" spans="1:19" x14ac:dyDescent="0.3">
      <c r="A23" s="13"/>
      <c r="B23" s="15"/>
      <c r="C23" s="15"/>
      <c r="D23" s="16"/>
      <c r="E23" s="15"/>
      <c r="F23" s="15"/>
      <c r="G23" s="15"/>
      <c r="H23" s="15"/>
      <c r="I23" s="15"/>
      <c r="J23" s="15"/>
      <c r="O23"/>
      <c r="Q23"/>
      <c r="R23"/>
      <c r="S23"/>
    </row>
    <row r="24" spans="1:19" x14ac:dyDescent="0.3">
      <c r="A24" s="13"/>
      <c r="B24" s="15"/>
      <c r="C24" s="15"/>
      <c r="D24" s="16"/>
      <c r="E24" s="15"/>
      <c r="F24" s="15"/>
      <c r="G24" s="15"/>
      <c r="H24" s="15"/>
      <c r="I24" s="15"/>
      <c r="J24" s="15"/>
      <c r="O24"/>
      <c r="Q24"/>
      <c r="R24"/>
      <c r="S24"/>
    </row>
    <row r="25" spans="1:19" x14ac:dyDescent="0.3">
      <c r="A25" s="13"/>
      <c r="B25" s="15"/>
      <c r="C25" s="15"/>
      <c r="D25" s="16"/>
      <c r="E25" s="15"/>
      <c r="F25" s="15"/>
      <c r="G25" s="15"/>
      <c r="H25" s="15"/>
      <c r="I25" s="15"/>
      <c r="J25" s="15"/>
      <c r="M25" s="10" t="s">
        <v>93</v>
      </c>
      <c r="N25" s="10">
        <v>477.92</v>
      </c>
      <c r="O25"/>
      <c r="Q25"/>
      <c r="R25"/>
      <c r="S25"/>
    </row>
    <row r="26" spans="1:19" x14ac:dyDescent="0.3">
      <c r="A26" s="13"/>
      <c r="B26" s="15"/>
      <c r="C26" s="15"/>
      <c r="D26" s="16"/>
      <c r="E26" s="15"/>
      <c r="F26" s="15"/>
      <c r="G26" s="15"/>
      <c r="H26" s="15"/>
      <c r="I26" s="15"/>
      <c r="J26" s="15"/>
      <c r="O26"/>
      <c r="Q26"/>
      <c r="R26"/>
      <c r="S26"/>
    </row>
    <row r="27" spans="1:19" x14ac:dyDescent="0.3">
      <c r="A27" s="13"/>
      <c r="B27" s="15"/>
      <c r="C27" s="15"/>
      <c r="D27" s="16"/>
      <c r="E27" s="15"/>
      <c r="F27" s="15"/>
      <c r="G27" s="15"/>
      <c r="H27" s="15"/>
      <c r="I27" s="15"/>
      <c r="J27" s="15"/>
      <c r="O27"/>
      <c r="Q27"/>
      <c r="R27"/>
      <c r="S27"/>
    </row>
    <row r="28" spans="1:19" x14ac:dyDescent="0.3">
      <c r="A28" s="13"/>
      <c r="B28" s="15"/>
      <c r="C28" s="15"/>
      <c r="D28" s="16"/>
      <c r="E28" s="15"/>
      <c r="F28" s="15"/>
      <c r="G28" s="15"/>
      <c r="H28" s="15"/>
      <c r="I28" s="15"/>
      <c r="J28" s="15"/>
      <c r="Q28"/>
      <c r="R28"/>
      <c r="S28"/>
    </row>
    <row r="29" spans="1:19" x14ac:dyDescent="0.3">
      <c r="A29" s="13"/>
      <c r="B29" s="15"/>
      <c r="C29" s="15"/>
      <c r="D29" s="16"/>
      <c r="E29" s="15"/>
      <c r="F29" s="15"/>
      <c r="G29" s="15"/>
      <c r="H29" s="15"/>
      <c r="I29" s="15"/>
      <c r="J29" s="15"/>
    </row>
    <row r="30" spans="1:19" x14ac:dyDescent="0.3">
      <c r="A30" s="13"/>
      <c r="B30" s="15"/>
      <c r="C30" s="15"/>
      <c r="D30" s="16"/>
      <c r="E30" s="15"/>
      <c r="F30" s="15"/>
      <c r="G30" s="15"/>
      <c r="H30" s="15"/>
      <c r="I30" s="15"/>
      <c r="J30" s="15"/>
    </row>
    <row r="31" spans="1:19" x14ac:dyDescent="0.3">
      <c r="A31" s="13"/>
      <c r="B31" s="15"/>
      <c r="C31" s="15"/>
      <c r="D31" s="16"/>
      <c r="E31" s="15"/>
      <c r="F31" s="15"/>
      <c r="G31" s="15"/>
      <c r="H31" s="15"/>
      <c r="I31" s="15"/>
      <c r="J31" s="15"/>
    </row>
    <row r="32" spans="1:19" x14ac:dyDescent="0.3">
      <c r="A32" s="13"/>
      <c r="B32" s="15"/>
      <c r="C32" s="15"/>
      <c r="D32" s="16"/>
      <c r="E32" s="15"/>
      <c r="F32" s="15"/>
      <c r="G32" s="15"/>
      <c r="H32" s="15"/>
      <c r="I32" s="15"/>
      <c r="J32" s="15"/>
    </row>
    <row r="33" spans="1:10" x14ac:dyDescent="0.3">
      <c r="A33" s="13"/>
      <c r="B33" s="15"/>
      <c r="C33" s="15"/>
      <c r="D33" s="16"/>
      <c r="E33" s="15"/>
      <c r="F33" s="15"/>
      <c r="G33" s="15"/>
      <c r="H33" s="15"/>
      <c r="I33" s="15"/>
      <c r="J33" s="15"/>
    </row>
    <row r="34" spans="1:10" x14ac:dyDescent="0.3">
      <c r="A34" s="13"/>
      <c r="B34" s="15"/>
      <c r="C34" s="15"/>
      <c r="D34" s="16"/>
      <c r="E34" s="15"/>
      <c r="F34" s="15"/>
      <c r="G34" s="15"/>
      <c r="H34" s="15"/>
      <c r="I34" s="15"/>
      <c r="J34" s="15"/>
    </row>
    <row r="35" spans="1:10" x14ac:dyDescent="0.3">
      <c r="A35" s="13"/>
      <c r="B35" s="15"/>
      <c r="C35" s="15"/>
      <c r="D35" s="16"/>
      <c r="E35" s="15"/>
      <c r="F35" s="15"/>
      <c r="G35" s="15"/>
      <c r="H35" s="15"/>
      <c r="I35" s="15"/>
      <c r="J35" s="15"/>
    </row>
    <row r="36" spans="1:10" x14ac:dyDescent="0.3">
      <c r="A36" s="13"/>
      <c r="B36" s="15"/>
      <c r="C36" s="15"/>
      <c r="D36" s="16"/>
      <c r="E36" s="15"/>
      <c r="F36" s="15"/>
      <c r="G36" s="15"/>
      <c r="H36" s="15"/>
      <c r="I36" s="15"/>
      <c r="J36" s="15"/>
    </row>
    <row r="37" spans="1:10" x14ac:dyDescent="0.3">
      <c r="A37" s="13"/>
      <c r="B37" s="15"/>
      <c r="C37" s="15"/>
      <c r="D37" s="16"/>
      <c r="E37" s="15"/>
      <c r="F37" s="15"/>
      <c r="G37" s="15"/>
      <c r="H37" s="15"/>
      <c r="I37" s="15"/>
      <c r="J37" s="15"/>
    </row>
    <row r="38" spans="1:10" x14ac:dyDescent="0.3">
      <c r="A38" s="13"/>
      <c r="B38" s="15"/>
      <c r="C38" s="15"/>
      <c r="D38" s="16"/>
      <c r="E38" s="15"/>
      <c r="F38" s="15"/>
      <c r="G38" s="15"/>
      <c r="H38" s="15"/>
      <c r="I38" s="15"/>
      <c r="J38" s="15"/>
    </row>
    <row r="39" spans="1:10" x14ac:dyDescent="0.3">
      <c r="A39" s="13"/>
      <c r="B39" s="15"/>
      <c r="C39" s="15"/>
      <c r="D39" s="16"/>
      <c r="E39" s="15"/>
      <c r="F39" s="15"/>
      <c r="G39" s="15"/>
      <c r="H39" s="15"/>
      <c r="I39" s="15"/>
      <c r="J39" s="15"/>
    </row>
    <row r="40" spans="1:10" x14ac:dyDescent="0.3">
      <c r="A40" s="13"/>
      <c r="B40" s="15"/>
      <c r="C40" s="15"/>
      <c r="D40" s="16"/>
      <c r="E40" s="15"/>
      <c r="F40" s="15"/>
      <c r="G40" s="15"/>
      <c r="H40" s="15"/>
      <c r="I40" s="15"/>
      <c r="J40" s="15"/>
    </row>
    <row r="41" spans="1:10" x14ac:dyDescent="0.3">
      <c r="A41" s="13"/>
      <c r="B41" s="15"/>
      <c r="C41" s="15"/>
      <c r="D41" s="16"/>
      <c r="E41" s="15"/>
      <c r="F41" s="15"/>
      <c r="G41" s="15"/>
      <c r="H41" s="15"/>
      <c r="I41" s="15"/>
      <c r="J41" s="15"/>
    </row>
    <row r="42" spans="1:10" x14ac:dyDescent="0.3">
      <c r="A42" s="13"/>
      <c r="B42" s="15"/>
      <c r="C42" s="15"/>
      <c r="D42" s="16"/>
      <c r="E42" s="15"/>
      <c r="F42" s="15"/>
      <c r="G42" s="15"/>
      <c r="H42" s="15"/>
      <c r="I42" s="15"/>
      <c r="J42" s="15"/>
    </row>
  </sheetData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48A845-0A5C-4DCF-A105-18E759627B11}">
          <x14:formula1>
            <xm:f>Planilha1!$B$2:$B$8</xm:f>
          </x14:formula1>
          <xm:sqref>F43:F1048576 E1:E1048576</xm:sqref>
        </x14:dataValidation>
        <x14:dataValidation type="list" allowBlank="1" showInputMessage="1" showErrorMessage="1" xr:uid="{95EEAD7C-C09C-4655-B5C6-65B3D9203032}">
          <x14:formula1>
            <xm:f>Planilha1!$G$2:$G$22</xm:f>
          </x14:formula1>
          <xm:sqref>F2:F42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415C-D663-4BDF-A6C8-BEA5443E00FA}">
  <dimension ref="A1:P48"/>
  <sheetViews>
    <sheetView showGridLines="0" topLeftCell="B1" workbookViewId="0">
      <selection activeCell="I10" sqref="I10"/>
    </sheetView>
  </sheetViews>
  <sheetFormatPr defaultColWidth="9.109375" defaultRowHeight="15" customHeight="1" x14ac:dyDescent="0.3"/>
  <cols>
    <col min="1" max="1" width="13.109375" style="12" customWidth="1"/>
    <col min="2" max="2" width="34" style="10" customWidth="1"/>
    <col min="3" max="3" width="40.5546875" style="10" customWidth="1"/>
    <col min="4" max="4" width="10.88671875" style="11" customWidth="1"/>
    <col min="5" max="5" width="16.6640625" style="10" bestFit="1" customWidth="1"/>
    <col min="6" max="6" width="30.33203125" style="10" customWidth="1"/>
    <col min="7" max="7" width="15.109375" style="10" customWidth="1"/>
    <col min="8" max="8" width="11.44140625" style="10" bestFit="1" customWidth="1"/>
    <col min="9" max="9" width="11.109375" style="10" bestFit="1" customWidth="1"/>
    <col min="10" max="10" width="10.5546875" style="10" customWidth="1"/>
    <col min="11" max="11" width="13.5546875" style="10" bestFit="1" customWidth="1"/>
    <col min="12" max="13" width="9.109375" style="10"/>
    <col min="14" max="14" width="16.6640625" style="10" bestFit="1" customWidth="1"/>
    <col min="15" max="15" width="19.6640625" style="10" bestFit="1" customWidth="1"/>
    <col min="16" max="16" width="13.88671875" style="10" bestFit="1" customWidth="1"/>
    <col min="17" max="16384" width="9.109375" style="10"/>
  </cols>
  <sheetData>
    <row r="1" spans="1:12" s="12" customFormat="1" ht="14.4" x14ac:dyDescent="0.3">
      <c r="A1" s="13" t="s">
        <v>56</v>
      </c>
      <c r="B1" s="13" t="s">
        <v>57</v>
      </c>
      <c r="C1" s="13" t="s">
        <v>58</v>
      </c>
      <c r="D1" s="14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</row>
    <row r="2" spans="1:12" ht="14.4" x14ac:dyDescent="0.3">
      <c r="A2" s="18">
        <v>45967</v>
      </c>
      <c r="B2" s="15" t="s">
        <v>131</v>
      </c>
      <c r="C2" s="15" t="s">
        <v>132</v>
      </c>
      <c r="D2" s="34" t="s">
        <v>133</v>
      </c>
      <c r="E2" s="15" t="s">
        <v>8</v>
      </c>
      <c r="F2" s="15" t="s">
        <v>17</v>
      </c>
      <c r="G2" s="30">
        <v>45986</v>
      </c>
      <c r="H2" s="19">
        <v>45964</v>
      </c>
      <c r="I2" s="19">
        <v>45964</v>
      </c>
      <c r="J2" s="15">
        <v>99</v>
      </c>
    </row>
    <row r="3" spans="1:12" ht="14.4" x14ac:dyDescent="0.3">
      <c r="A3" s="22">
        <v>45972</v>
      </c>
      <c r="B3" s="15" t="s">
        <v>134</v>
      </c>
      <c r="C3" s="15" t="s">
        <v>135</v>
      </c>
      <c r="D3" s="34">
        <v>3710</v>
      </c>
      <c r="E3" s="15" t="s">
        <v>8</v>
      </c>
      <c r="F3" s="15" t="s">
        <v>17</v>
      </c>
      <c r="G3" s="30">
        <v>45986</v>
      </c>
      <c r="H3" s="21">
        <v>45972</v>
      </c>
      <c r="I3" s="21">
        <v>45972</v>
      </c>
      <c r="J3" s="15">
        <v>205</v>
      </c>
    </row>
    <row r="4" spans="1:12" ht="14.4" x14ac:dyDescent="0.3">
      <c r="A4" s="22">
        <v>45971</v>
      </c>
      <c r="B4" s="15" t="s">
        <v>136</v>
      </c>
      <c r="C4" s="15" t="s">
        <v>137</v>
      </c>
      <c r="D4" s="34">
        <v>2100</v>
      </c>
      <c r="E4" s="15" t="s">
        <v>8</v>
      </c>
      <c r="F4" s="15" t="s">
        <v>17</v>
      </c>
      <c r="G4" s="30">
        <v>45986</v>
      </c>
      <c r="H4" s="21">
        <v>45971</v>
      </c>
      <c r="I4" s="21">
        <v>45971</v>
      </c>
      <c r="J4" s="15"/>
    </row>
    <row r="5" spans="1:12" ht="14.4" x14ac:dyDescent="0.3">
      <c r="A5" s="22">
        <v>45972</v>
      </c>
      <c r="B5" s="15" t="s">
        <v>138</v>
      </c>
      <c r="C5" s="15" t="s">
        <v>139</v>
      </c>
      <c r="D5" s="34">
        <v>85.5</v>
      </c>
      <c r="E5" s="15" t="s">
        <v>71</v>
      </c>
      <c r="F5" s="15" t="s">
        <v>25</v>
      </c>
      <c r="G5" s="30">
        <v>45986</v>
      </c>
      <c r="H5" s="21">
        <v>45972</v>
      </c>
      <c r="I5" s="21">
        <v>45973</v>
      </c>
      <c r="J5" s="15" t="s">
        <v>77</v>
      </c>
    </row>
    <row r="6" spans="1:12" ht="14.4" x14ac:dyDescent="0.3">
      <c r="A6" s="22">
        <v>45972</v>
      </c>
      <c r="B6" s="15" t="s">
        <v>138</v>
      </c>
      <c r="C6" s="15" t="s">
        <v>140</v>
      </c>
      <c r="D6" s="34">
        <v>181.83</v>
      </c>
      <c r="E6" s="15" t="s">
        <v>71</v>
      </c>
      <c r="F6" s="15" t="s">
        <v>25</v>
      </c>
      <c r="G6" s="30">
        <v>45986</v>
      </c>
      <c r="H6" s="21">
        <v>45972</v>
      </c>
      <c r="I6" s="21">
        <v>45973</v>
      </c>
      <c r="J6" s="15" t="s">
        <v>77</v>
      </c>
    </row>
    <row r="7" spans="1:12" ht="14.4" x14ac:dyDescent="0.3">
      <c r="A7" s="22">
        <v>45980</v>
      </c>
      <c r="B7" s="15" t="s">
        <v>141</v>
      </c>
      <c r="C7" s="15" t="s">
        <v>142</v>
      </c>
      <c r="D7" s="34">
        <v>2000</v>
      </c>
      <c r="E7" s="15" t="s">
        <v>2</v>
      </c>
      <c r="F7" s="15" t="s">
        <v>9</v>
      </c>
      <c r="G7" s="30">
        <v>45986</v>
      </c>
      <c r="H7" s="21">
        <v>45980</v>
      </c>
      <c r="I7" s="21">
        <v>45980</v>
      </c>
      <c r="J7" s="15"/>
    </row>
    <row r="8" spans="1:12" ht="14.4" x14ac:dyDescent="0.3">
      <c r="A8" s="22">
        <v>45987</v>
      </c>
      <c r="B8" s="15" t="s">
        <v>143</v>
      </c>
      <c r="C8" s="15" t="s">
        <v>142</v>
      </c>
      <c r="D8" s="34">
        <v>3800</v>
      </c>
      <c r="E8" s="15" t="s">
        <v>2</v>
      </c>
      <c r="F8" s="15" t="s">
        <v>9</v>
      </c>
      <c r="G8" s="30">
        <v>45986</v>
      </c>
      <c r="H8" s="21">
        <v>45987</v>
      </c>
      <c r="I8" s="21">
        <v>45987</v>
      </c>
      <c r="J8" s="15"/>
    </row>
    <row r="9" spans="1:12" ht="28.8" x14ac:dyDescent="0.3">
      <c r="A9" s="22">
        <v>45979</v>
      </c>
      <c r="B9" s="33" t="s">
        <v>144</v>
      </c>
      <c r="C9" s="15" t="s">
        <v>145</v>
      </c>
      <c r="D9" s="34">
        <v>236</v>
      </c>
      <c r="E9" s="15" t="s">
        <v>6</v>
      </c>
      <c r="F9" s="15" t="s">
        <v>13</v>
      </c>
      <c r="G9" s="30">
        <v>45986</v>
      </c>
      <c r="H9" s="21">
        <v>45979</v>
      </c>
      <c r="I9" s="21">
        <v>45979</v>
      </c>
      <c r="J9" s="15"/>
    </row>
    <row r="10" spans="1:12" ht="14.4" x14ac:dyDescent="0.3">
      <c r="A10" s="22">
        <v>45988</v>
      </c>
      <c r="B10" s="15" t="s">
        <v>146</v>
      </c>
      <c r="C10" s="15" t="s">
        <v>147</v>
      </c>
      <c r="D10" s="16">
        <v>2867</v>
      </c>
      <c r="E10" s="15" t="s">
        <v>8</v>
      </c>
      <c r="F10" s="15" t="s">
        <v>18</v>
      </c>
      <c r="G10" s="30">
        <v>45986</v>
      </c>
      <c r="H10" s="21">
        <v>45996</v>
      </c>
      <c r="I10" s="21">
        <v>45996</v>
      </c>
      <c r="J10" s="15">
        <v>5729</v>
      </c>
      <c r="K10" s="10" t="s">
        <v>148</v>
      </c>
      <c r="L10" s="35" t="s">
        <v>149</v>
      </c>
    </row>
    <row r="11" spans="1:12" ht="14.4" x14ac:dyDescent="0.3">
      <c r="A11" s="18">
        <v>45962</v>
      </c>
      <c r="B11" s="15" t="s">
        <v>69</v>
      </c>
      <c r="C11" s="15" t="s">
        <v>70</v>
      </c>
      <c r="D11" s="34">
        <v>65.900000000000006</v>
      </c>
      <c r="E11" s="15" t="s">
        <v>71</v>
      </c>
      <c r="F11" s="15" t="s">
        <v>25</v>
      </c>
      <c r="G11" s="30">
        <v>45986</v>
      </c>
      <c r="H11" s="15"/>
      <c r="I11" s="21"/>
      <c r="J11" s="19" t="s">
        <v>77</v>
      </c>
      <c r="K11" s="40"/>
    </row>
    <row r="12" spans="1:12" s="38" customFormat="1" ht="14.4" x14ac:dyDescent="0.3">
      <c r="A12" s="36"/>
      <c r="B12" s="37" t="s">
        <v>150</v>
      </c>
      <c r="C12" s="37" t="s">
        <v>151</v>
      </c>
      <c r="D12" s="27">
        <v>976.21</v>
      </c>
      <c r="E12" s="15" t="s">
        <v>71</v>
      </c>
      <c r="F12" s="15" t="s">
        <v>25</v>
      </c>
      <c r="G12" s="30">
        <v>45986</v>
      </c>
      <c r="H12" s="15"/>
      <c r="I12" s="21"/>
      <c r="J12" s="19" t="s">
        <v>77</v>
      </c>
      <c r="K12" s="40"/>
    </row>
    <row r="13" spans="1:12" ht="14.4" x14ac:dyDescent="0.3">
      <c r="A13" s="22">
        <v>45974</v>
      </c>
      <c r="B13" s="15" t="s">
        <v>3</v>
      </c>
      <c r="C13" s="15" t="s">
        <v>90</v>
      </c>
      <c r="D13" s="16">
        <v>67.23</v>
      </c>
      <c r="E13" s="15" t="s">
        <v>22</v>
      </c>
      <c r="F13" s="15" t="s">
        <v>22</v>
      </c>
      <c r="G13" s="30">
        <v>45986</v>
      </c>
      <c r="H13" s="15"/>
      <c r="I13" s="21">
        <v>45993</v>
      </c>
      <c r="J13" s="15">
        <v>124440130</v>
      </c>
    </row>
    <row r="14" spans="1:12" ht="14.4" x14ac:dyDescent="0.3">
      <c r="A14" s="22">
        <v>45973</v>
      </c>
      <c r="B14" s="15" t="s">
        <v>3</v>
      </c>
      <c r="C14" s="15" t="s">
        <v>0</v>
      </c>
      <c r="D14" s="16">
        <v>1001.29</v>
      </c>
      <c r="E14" s="15" t="s">
        <v>0</v>
      </c>
      <c r="F14" s="15" t="s">
        <v>3</v>
      </c>
      <c r="G14" s="30">
        <v>45986</v>
      </c>
      <c r="H14" s="21">
        <v>45973</v>
      </c>
      <c r="I14" s="21">
        <v>45993</v>
      </c>
      <c r="J14" s="15">
        <v>124440130</v>
      </c>
    </row>
    <row r="15" spans="1:12" ht="14.4" x14ac:dyDescent="0.3">
      <c r="A15" s="22">
        <v>45979</v>
      </c>
      <c r="B15" s="15" t="s">
        <v>3</v>
      </c>
      <c r="C15" s="15" t="s">
        <v>0</v>
      </c>
      <c r="D15" s="16">
        <v>1000.51</v>
      </c>
      <c r="E15" s="15" t="s">
        <v>0</v>
      </c>
      <c r="F15" s="15" t="s">
        <v>3</v>
      </c>
      <c r="G15" s="30">
        <v>45986</v>
      </c>
      <c r="H15" s="21">
        <v>45979</v>
      </c>
      <c r="I15" s="21">
        <v>45993</v>
      </c>
      <c r="J15" s="15">
        <v>124440130</v>
      </c>
    </row>
    <row r="16" spans="1:12" ht="14.4" x14ac:dyDescent="0.3">
      <c r="A16" s="22">
        <v>45966</v>
      </c>
      <c r="B16" s="15" t="s">
        <v>3</v>
      </c>
      <c r="C16" s="15" t="s">
        <v>0</v>
      </c>
      <c r="D16" s="16">
        <v>1000.18</v>
      </c>
      <c r="E16" s="15" t="s">
        <v>0</v>
      </c>
      <c r="F16" s="15" t="s">
        <v>3</v>
      </c>
      <c r="G16" s="30">
        <v>45986</v>
      </c>
      <c r="H16" s="21">
        <v>45966</v>
      </c>
      <c r="I16" s="21">
        <v>45993</v>
      </c>
      <c r="J16" s="15">
        <v>124440130</v>
      </c>
    </row>
    <row r="17" spans="1:16" ht="14.4" x14ac:dyDescent="0.3">
      <c r="A17" s="22">
        <v>45985</v>
      </c>
      <c r="B17" s="15" t="s">
        <v>3</v>
      </c>
      <c r="C17" s="15" t="s">
        <v>0</v>
      </c>
      <c r="D17" s="16">
        <v>1000.15</v>
      </c>
      <c r="E17" s="15" t="s">
        <v>0</v>
      </c>
      <c r="F17" s="15" t="s">
        <v>3</v>
      </c>
      <c r="G17" s="30">
        <v>45986</v>
      </c>
      <c r="H17" s="21">
        <v>45985</v>
      </c>
      <c r="I17" s="21">
        <v>45993</v>
      </c>
      <c r="J17" s="15">
        <v>124440130</v>
      </c>
      <c r="N17"/>
      <c r="O17"/>
      <c r="P17"/>
    </row>
    <row r="18" spans="1:16" ht="14.4" x14ac:dyDescent="0.3">
      <c r="A18" s="13"/>
      <c r="B18" s="15"/>
      <c r="C18" s="15"/>
      <c r="D18" s="16"/>
      <c r="E18" s="15"/>
      <c r="F18" s="15"/>
      <c r="G18" s="15"/>
      <c r="H18" s="15"/>
      <c r="I18" s="15"/>
      <c r="J18" s="15"/>
      <c r="N18"/>
      <c r="O18"/>
      <c r="P18"/>
    </row>
    <row r="19" spans="1:16" ht="14.4" x14ac:dyDescent="0.3">
      <c r="A19" s="13"/>
      <c r="B19" s="15"/>
      <c r="C19" s="15"/>
      <c r="D19" s="16"/>
      <c r="E19" s="15"/>
      <c r="F19" s="15"/>
      <c r="G19" s="15"/>
      <c r="H19" s="15"/>
      <c r="I19" s="15"/>
      <c r="J19" s="15"/>
      <c r="M19" s="10" t="s">
        <v>93</v>
      </c>
      <c r="N19"/>
      <c r="O19"/>
      <c r="P19"/>
    </row>
    <row r="20" spans="1:16" ht="14.4" x14ac:dyDescent="0.3">
      <c r="A20" s="13"/>
      <c r="B20" s="15"/>
      <c r="C20" s="15"/>
      <c r="D20" s="16"/>
      <c r="E20" s="15"/>
      <c r="F20" s="15"/>
      <c r="G20" s="15"/>
      <c r="H20" s="15"/>
      <c r="I20" s="15"/>
      <c r="J20" s="15"/>
    </row>
    <row r="21" spans="1:16" ht="14.4" x14ac:dyDescent="0.3">
      <c r="A21" s="13"/>
      <c r="B21" s="15"/>
      <c r="C21" s="15"/>
      <c r="D21" s="16"/>
      <c r="E21" s="15"/>
      <c r="F21" s="15"/>
      <c r="G21" s="15"/>
      <c r="H21" s="15"/>
      <c r="I21" s="15"/>
      <c r="J21" s="15"/>
    </row>
    <row r="22" spans="1:16" ht="14.4" x14ac:dyDescent="0.3">
      <c r="A22" s="13"/>
      <c r="B22" s="15"/>
      <c r="C22" s="15"/>
      <c r="D22" s="16"/>
      <c r="E22" s="15"/>
      <c r="F22" s="15"/>
      <c r="G22" s="15"/>
      <c r="H22" s="15"/>
      <c r="I22" s="15"/>
      <c r="J22" s="15"/>
    </row>
    <row r="23" spans="1:16" ht="14.4" x14ac:dyDescent="0.3">
      <c r="A23" s="13"/>
      <c r="B23" s="15"/>
      <c r="C23" s="15"/>
      <c r="D23" s="16"/>
      <c r="E23" s="15"/>
      <c r="F23" s="15"/>
      <c r="G23" s="15"/>
      <c r="H23" s="15"/>
      <c r="I23" s="15"/>
      <c r="J23" s="15"/>
    </row>
    <row r="24" spans="1:16" ht="14.4" x14ac:dyDescent="0.3">
      <c r="A24" s="13"/>
      <c r="B24" s="15"/>
      <c r="C24" s="15"/>
      <c r="D24" s="16"/>
      <c r="E24" s="15"/>
      <c r="F24" s="15"/>
      <c r="G24" s="15"/>
      <c r="H24" s="15"/>
      <c r="I24" s="15"/>
      <c r="J24" s="15"/>
    </row>
    <row r="25" spans="1:16" ht="14.4" x14ac:dyDescent="0.3">
      <c r="A25" s="13"/>
      <c r="B25" s="15"/>
      <c r="C25" s="15"/>
      <c r="D25" s="16"/>
      <c r="E25" s="15"/>
      <c r="F25" s="15"/>
      <c r="G25" s="15"/>
      <c r="H25" s="15"/>
      <c r="I25" s="15"/>
      <c r="J25" s="15"/>
    </row>
    <row r="26" spans="1:16" ht="14.4" x14ac:dyDescent="0.3">
      <c r="A26" s="13"/>
      <c r="B26" s="15"/>
      <c r="C26" s="15"/>
      <c r="D26" s="16"/>
      <c r="E26" s="15"/>
      <c r="F26" s="15"/>
      <c r="G26" s="15"/>
      <c r="H26" s="15"/>
      <c r="I26" s="15"/>
      <c r="J26" s="15"/>
    </row>
    <row r="27" spans="1:16" ht="14.4" x14ac:dyDescent="0.3">
      <c r="A27" s="13"/>
      <c r="B27" s="15"/>
      <c r="C27" s="15"/>
      <c r="D27" s="16"/>
      <c r="E27" s="15"/>
      <c r="F27" s="15"/>
      <c r="G27" s="15"/>
      <c r="H27" s="15"/>
      <c r="I27" s="15"/>
      <c r="J27" s="15"/>
    </row>
    <row r="32" spans="1:16" ht="14.4" x14ac:dyDescent="0.3">
      <c r="N32" s="39" t="s">
        <v>60</v>
      </c>
      <c r="O32" s="39" t="s">
        <v>61</v>
      </c>
      <c r="P32" t="s">
        <v>73</v>
      </c>
    </row>
    <row r="33" spans="14:16" ht="14.4" x14ac:dyDescent="0.3">
      <c r="N33" t="s">
        <v>8</v>
      </c>
      <c r="O33" t="s">
        <v>17</v>
      </c>
      <c r="P33">
        <v>5810</v>
      </c>
    </row>
    <row r="34" spans="14:16" ht="14.4" x14ac:dyDescent="0.3">
      <c r="N34"/>
      <c r="O34" t="s">
        <v>18</v>
      </c>
      <c r="P34">
        <v>2867</v>
      </c>
    </row>
    <row r="35" spans="14:16" ht="14.4" x14ac:dyDescent="0.3">
      <c r="N35" t="s">
        <v>99</v>
      </c>
      <c r="O35"/>
      <c r="P35">
        <v>8677</v>
      </c>
    </row>
    <row r="36" spans="14:16" ht="14.4" x14ac:dyDescent="0.3">
      <c r="N36" t="s">
        <v>6</v>
      </c>
      <c r="O36" t="s">
        <v>13</v>
      </c>
      <c r="P36">
        <v>236</v>
      </c>
    </row>
    <row r="37" spans="14:16" ht="14.4" x14ac:dyDescent="0.3">
      <c r="N37" t="s">
        <v>75</v>
      </c>
      <c r="O37"/>
      <c r="P37">
        <v>236</v>
      </c>
    </row>
    <row r="38" spans="14:16" ht="14.4" x14ac:dyDescent="0.3">
      <c r="N38" t="s">
        <v>2</v>
      </c>
      <c r="O38" t="s">
        <v>9</v>
      </c>
      <c r="P38">
        <v>5800</v>
      </c>
    </row>
    <row r="39" spans="14:16" ht="14.4" x14ac:dyDescent="0.3">
      <c r="N39" t="s">
        <v>152</v>
      </c>
      <c r="O39"/>
      <c r="P39">
        <v>5800</v>
      </c>
    </row>
    <row r="40" spans="14:16" ht="14.4" x14ac:dyDescent="0.3">
      <c r="N40" t="s">
        <v>0</v>
      </c>
      <c r="O40" t="s">
        <v>3</v>
      </c>
      <c r="P40">
        <v>4002.13</v>
      </c>
    </row>
    <row r="41" spans="14:16" ht="14.4" x14ac:dyDescent="0.3">
      <c r="N41" t="s">
        <v>153</v>
      </c>
      <c r="O41"/>
      <c r="P41">
        <v>4002.13</v>
      </c>
    </row>
    <row r="42" spans="14:16" ht="14.4" x14ac:dyDescent="0.3">
      <c r="N42" t="s">
        <v>71</v>
      </c>
      <c r="O42" t="s">
        <v>25</v>
      </c>
      <c r="P42">
        <v>1309.44</v>
      </c>
    </row>
    <row r="43" spans="14:16" ht="14.4" x14ac:dyDescent="0.3">
      <c r="N43" t="s">
        <v>83</v>
      </c>
      <c r="O43"/>
      <c r="P43">
        <v>1309.44</v>
      </c>
    </row>
    <row r="44" spans="14:16" ht="14.4" x14ac:dyDescent="0.3">
      <c r="N44" t="s">
        <v>87</v>
      </c>
      <c r="O44" t="s">
        <v>87</v>
      </c>
      <c r="P44"/>
    </row>
    <row r="45" spans="14:16" ht="14.4" x14ac:dyDescent="0.3">
      <c r="N45" t="s">
        <v>89</v>
      </c>
      <c r="O45"/>
      <c r="P45"/>
    </row>
    <row r="46" spans="14:16" ht="14.4" x14ac:dyDescent="0.3">
      <c r="N46" t="s">
        <v>22</v>
      </c>
      <c r="O46" t="s">
        <v>22</v>
      </c>
      <c r="P46">
        <v>67.23</v>
      </c>
    </row>
    <row r="47" spans="14:16" ht="15" customHeight="1" x14ac:dyDescent="0.3">
      <c r="N47" t="s">
        <v>154</v>
      </c>
      <c r="O47"/>
      <c r="P47">
        <v>67.23</v>
      </c>
    </row>
    <row r="48" spans="14:16" ht="15" customHeight="1" x14ac:dyDescent="0.3">
      <c r="N48" t="s">
        <v>92</v>
      </c>
      <c r="O48"/>
      <c r="P48">
        <v>20091.8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149E2F-41D0-4151-8C1C-826BEAE5063F}">
          <x14:formula1>
            <xm:f>Planilha1!$B$2:$B$8</xm:f>
          </x14:formula1>
          <xm:sqref>F28:F1048576 E14:E1048576 E1:E12</xm:sqref>
        </x14:dataValidation>
        <x14:dataValidation type="list" allowBlank="1" showInputMessage="1" showErrorMessage="1" xr:uid="{672DC8FC-A4D2-4133-B00C-8CDF30C34738}">
          <x14:formula1>
            <xm:f>Planilha1!$G$2:$G$22</xm:f>
          </x14:formula1>
          <xm:sqref>E13 F2:F27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0D40-F942-48EB-BD30-94626017CEF1}">
  <dimension ref="A1:N26"/>
  <sheetViews>
    <sheetView showGridLines="0" workbookViewId="0">
      <selection activeCell="C16" sqref="C16"/>
    </sheetView>
  </sheetViews>
  <sheetFormatPr defaultColWidth="9.109375" defaultRowHeight="14.4" x14ac:dyDescent="0.3"/>
  <cols>
    <col min="1" max="1" width="13.109375" style="12" customWidth="1"/>
    <col min="2" max="2" width="34" style="10" customWidth="1"/>
    <col min="3" max="3" width="40.5546875" style="10" customWidth="1"/>
    <col min="4" max="4" width="10.88671875" style="11" customWidth="1"/>
    <col min="5" max="5" width="26.88671875" style="10" bestFit="1" customWidth="1"/>
    <col min="6" max="6" width="30.33203125" style="10" customWidth="1"/>
    <col min="7" max="7" width="15.109375" style="10" customWidth="1"/>
    <col min="8" max="8" width="11.44140625" style="10" bestFit="1" customWidth="1"/>
    <col min="9" max="9" width="11.109375" style="10" bestFit="1" customWidth="1"/>
    <col min="10" max="10" width="10.5546875" style="10" customWidth="1"/>
    <col min="11" max="11" width="13.5546875" style="10" bestFit="1" customWidth="1"/>
    <col min="12" max="12" width="9.109375" style="10" bestFit="1" customWidth="1"/>
    <col min="13" max="13" width="12.33203125" style="10" bestFit="1" customWidth="1"/>
    <col min="14" max="14" width="13.88671875" style="10" bestFit="1" customWidth="1"/>
    <col min="15" max="16384" width="9.109375" style="10"/>
  </cols>
  <sheetData>
    <row r="1" spans="1:14" s="12" customFormat="1" x14ac:dyDescent="0.3">
      <c r="A1" s="13" t="s">
        <v>56</v>
      </c>
      <c r="B1" s="13" t="s">
        <v>57</v>
      </c>
      <c r="C1" s="13" t="s">
        <v>58</v>
      </c>
      <c r="D1" s="14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 t="s">
        <v>155</v>
      </c>
      <c r="M1"/>
    </row>
    <row r="2" spans="1:14" x14ac:dyDescent="0.3">
      <c r="A2" s="18"/>
      <c r="B2" s="15" t="s">
        <v>138</v>
      </c>
      <c r="C2" s="15" t="s">
        <v>139</v>
      </c>
      <c r="D2" s="16">
        <v>130.5</v>
      </c>
      <c r="E2" s="15" t="s">
        <v>71</v>
      </c>
      <c r="F2" s="15" t="s">
        <v>25</v>
      </c>
      <c r="G2" s="17">
        <v>46016</v>
      </c>
      <c r="H2" s="19"/>
      <c r="I2" s="19"/>
      <c r="J2" s="15" t="s">
        <v>77</v>
      </c>
      <c r="K2" s="15" t="s">
        <v>156</v>
      </c>
      <c r="M2"/>
      <c r="N2"/>
    </row>
    <row r="3" spans="1:14" x14ac:dyDescent="0.3">
      <c r="A3" s="22">
        <v>45973</v>
      </c>
      <c r="B3" s="15" t="s">
        <v>138</v>
      </c>
      <c r="C3" s="15" t="s">
        <v>140</v>
      </c>
      <c r="D3" s="16">
        <v>181.83</v>
      </c>
      <c r="E3" s="15" t="s">
        <v>71</v>
      </c>
      <c r="F3" s="15" t="s">
        <v>25</v>
      </c>
      <c r="G3" s="17">
        <v>46016</v>
      </c>
      <c r="H3" s="21"/>
      <c r="I3" s="21"/>
      <c r="J3" s="15" t="s">
        <v>77</v>
      </c>
      <c r="K3" s="15" t="s">
        <v>156</v>
      </c>
      <c r="M3"/>
      <c r="N3"/>
    </row>
    <row r="4" spans="1:14" x14ac:dyDescent="0.3">
      <c r="A4" s="22">
        <v>45984</v>
      </c>
      <c r="B4" s="15" t="s">
        <v>138</v>
      </c>
      <c r="C4" s="15" t="s">
        <v>139</v>
      </c>
      <c r="D4" s="16">
        <v>8.2799999999999994</v>
      </c>
      <c r="E4" s="15" t="s">
        <v>71</v>
      </c>
      <c r="F4" s="15" t="s">
        <v>25</v>
      </c>
      <c r="G4" s="17">
        <v>46016</v>
      </c>
      <c r="H4" s="19"/>
      <c r="I4" s="19"/>
      <c r="J4" s="15" t="s">
        <v>77</v>
      </c>
      <c r="K4" s="15" t="s">
        <v>157</v>
      </c>
      <c r="M4"/>
      <c r="N4"/>
    </row>
    <row r="5" spans="1:14" x14ac:dyDescent="0.3">
      <c r="A5" s="22">
        <v>45984</v>
      </c>
      <c r="B5" s="15" t="s">
        <v>138</v>
      </c>
      <c r="C5" s="15" t="s">
        <v>139</v>
      </c>
      <c r="D5" s="16">
        <v>46.88</v>
      </c>
      <c r="E5" s="15" t="s">
        <v>71</v>
      </c>
      <c r="F5" s="15" t="s">
        <v>25</v>
      </c>
      <c r="G5" s="17">
        <v>46016</v>
      </c>
      <c r="H5" s="19"/>
      <c r="I5" s="19"/>
      <c r="J5" s="15" t="s">
        <v>77</v>
      </c>
      <c r="K5" s="15" t="s">
        <v>157</v>
      </c>
      <c r="M5"/>
      <c r="N5"/>
    </row>
    <row r="6" spans="1:14" x14ac:dyDescent="0.3">
      <c r="A6" s="22"/>
      <c r="B6" s="15" t="s">
        <v>158</v>
      </c>
      <c r="C6" s="15" t="s">
        <v>159</v>
      </c>
      <c r="D6" s="16">
        <v>1500</v>
      </c>
      <c r="E6" s="15" t="s">
        <v>120</v>
      </c>
      <c r="F6" s="15" t="s">
        <v>14</v>
      </c>
      <c r="G6" s="17">
        <v>46016</v>
      </c>
      <c r="H6" s="21"/>
      <c r="I6" s="21"/>
      <c r="J6" s="15">
        <v>18</v>
      </c>
      <c r="K6" s="15" t="s">
        <v>160</v>
      </c>
      <c r="M6"/>
      <c r="N6"/>
    </row>
    <row r="7" spans="1:14" x14ac:dyDescent="0.3">
      <c r="A7" s="22">
        <v>45993</v>
      </c>
      <c r="B7" s="15" t="s">
        <v>161</v>
      </c>
      <c r="C7" s="15" t="s">
        <v>162</v>
      </c>
      <c r="D7" s="16">
        <v>87000</v>
      </c>
      <c r="E7" s="15" t="s">
        <v>120</v>
      </c>
      <c r="F7" s="15" t="s">
        <v>14</v>
      </c>
      <c r="G7" s="17">
        <v>46016</v>
      </c>
      <c r="H7" s="17">
        <v>46007</v>
      </c>
      <c r="I7" s="17">
        <v>46007</v>
      </c>
      <c r="J7" s="15">
        <v>424</v>
      </c>
      <c r="K7" s="15" t="s">
        <v>163</v>
      </c>
      <c r="N7"/>
    </row>
    <row r="8" spans="1:14" x14ac:dyDescent="0.3">
      <c r="A8" s="22">
        <v>45999</v>
      </c>
      <c r="B8" s="15" t="s">
        <v>164</v>
      </c>
      <c r="C8" s="15" t="s">
        <v>165</v>
      </c>
      <c r="D8" s="27">
        <v>800</v>
      </c>
      <c r="E8" s="15" t="s">
        <v>6</v>
      </c>
      <c r="F8" s="15"/>
      <c r="G8" s="17">
        <v>46016</v>
      </c>
      <c r="H8" s="21"/>
      <c r="I8" s="21"/>
      <c r="J8" s="15">
        <v>19</v>
      </c>
      <c r="K8" s="15" t="s">
        <v>166</v>
      </c>
      <c r="N8"/>
    </row>
    <row r="9" spans="1:14" x14ac:dyDescent="0.3">
      <c r="A9" s="22">
        <v>46001</v>
      </c>
      <c r="B9" s="15" t="s">
        <v>167</v>
      </c>
      <c r="C9" s="15" t="s">
        <v>142</v>
      </c>
      <c r="D9" s="27">
        <v>2000</v>
      </c>
      <c r="E9" s="15" t="s">
        <v>2</v>
      </c>
      <c r="F9" s="15" t="s">
        <v>16</v>
      </c>
      <c r="G9" s="17">
        <v>46016</v>
      </c>
      <c r="H9" s="21"/>
      <c r="I9" s="21"/>
      <c r="J9" s="15">
        <v>514</v>
      </c>
      <c r="K9" s="15"/>
      <c r="N9"/>
    </row>
    <row r="10" spans="1:14" x14ac:dyDescent="0.3">
      <c r="A10" s="22">
        <v>46001</v>
      </c>
      <c r="B10" s="33" t="s">
        <v>168</v>
      </c>
      <c r="C10" s="15" t="s">
        <v>142</v>
      </c>
      <c r="D10" s="27">
        <v>3800</v>
      </c>
      <c r="E10" s="15" t="s">
        <v>2</v>
      </c>
      <c r="F10" s="15" t="s">
        <v>16</v>
      </c>
      <c r="G10" s="17">
        <v>46016</v>
      </c>
      <c r="H10" s="21"/>
      <c r="I10" s="21"/>
      <c r="J10" s="20">
        <v>31</v>
      </c>
      <c r="K10" s="15"/>
      <c r="N10"/>
    </row>
    <row r="11" spans="1:14" x14ac:dyDescent="0.3">
      <c r="A11" s="22"/>
      <c r="B11" s="37" t="s">
        <v>169</v>
      </c>
      <c r="C11" s="37" t="s">
        <v>170</v>
      </c>
      <c r="D11" s="27">
        <v>12600</v>
      </c>
      <c r="E11" s="37" t="s">
        <v>6</v>
      </c>
      <c r="F11" s="37" t="s">
        <v>9</v>
      </c>
      <c r="G11" s="17">
        <v>46016</v>
      </c>
      <c r="H11" s="21"/>
      <c r="I11" s="21"/>
      <c r="J11" s="15"/>
      <c r="K11" s="15"/>
      <c r="N11"/>
    </row>
    <row r="12" spans="1:14" x14ac:dyDescent="0.3">
      <c r="A12" s="22">
        <v>45992</v>
      </c>
      <c r="B12" s="15" t="s">
        <v>3</v>
      </c>
      <c r="C12" s="15" t="s">
        <v>0</v>
      </c>
      <c r="D12" s="27">
        <v>1001.98</v>
      </c>
      <c r="E12" s="15" t="s">
        <v>0</v>
      </c>
      <c r="F12" s="15" t="s">
        <v>3</v>
      </c>
      <c r="G12" s="17">
        <v>46016</v>
      </c>
      <c r="H12" s="21"/>
      <c r="I12" s="21"/>
      <c r="J12" s="15" t="s">
        <v>77</v>
      </c>
      <c r="K12" s="20"/>
      <c r="N12"/>
    </row>
    <row r="13" spans="1:14" x14ac:dyDescent="0.3">
      <c r="A13" s="22">
        <v>45997</v>
      </c>
      <c r="B13" s="15" t="s">
        <v>3</v>
      </c>
      <c r="C13" s="15" t="s">
        <v>0</v>
      </c>
      <c r="D13" s="27">
        <v>1000.27</v>
      </c>
      <c r="E13" s="15" t="s">
        <v>0</v>
      </c>
      <c r="F13" s="15" t="s">
        <v>3</v>
      </c>
      <c r="G13" s="17">
        <v>46016</v>
      </c>
      <c r="H13" s="15"/>
      <c r="I13" s="15"/>
      <c r="J13" s="15" t="s">
        <v>77</v>
      </c>
      <c r="K13" s="15"/>
      <c r="N13"/>
    </row>
    <row r="14" spans="1:14" x14ac:dyDescent="0.3">
      <c r="A14" s="22">
        <v>46007</v>
      </c>
      <c r="B14" s="15" t="s">
        <v>3</v>
      </c>
      <c r="C14" s="15" t="s">
        <v>0</v>
      </c>
      <c r="D14" s="27">
        <v>1001.94</v>
      </c>
      <c r="E14" s="15" t="s">
        <v>0</v>
      </c>
      <c r="F14" s="15" t="s">
        <v>3</v>
      </c>
      <c r="G14" s="17">
        <v>46016</v>
      </c>
      <c r="H14" s="15"/>
      <c r="I14" s="15"/>
      <c r="J14" s="15" t="s">
        <v>77</v>
      </c>
      <c r="K14" s="15" t="s">
        <v>156</v>
      </c>
    </row>
    <row r="15" spans="1:14" x14ac:dyDescent="0.3">
      <c r="A15" s="22">
        <v>46010</v>
      </c>
      <c r="B15" s="15" t="s">
        <v>3</v>
      </c>
      <c r="C15" s="15" t="s">
        <v>0</v>
      </c>
      <c r="D15" s="16">
        <v>1000</v>
      </c>
      <c r="E15" s="15" t="s">
        <v>0</v>
      </c>
      <c r="F15" s="15" t="s">
        <v>3</v>
      </c>
      <c r="G15" s="17">
        <v>46016</v>
      </c>
      <c r="H15" s="15"/>
      <c r="I15" s="15"/>
      <c r="J15" s="15" t="s">
        <v>77</v>
      </c>
      <c r="K15" s="15" t="s">
        <v>156</v>
      </c>
    </row>
    <row r="16" spans="1:14" x14ac:dyDescent="0.3">
      <c r="A16" s="22">
        <v>46015</v>
      </c>
      <c r="B16" s="15" t="s">
        <v>3</v>
      </c>
      <c r="C16" s="15" t="s">
        <v>0</v>
      </c>
      <c r="D16" s="16">
        <v>1000.44</v>
      </c>
      <c r="E16" s="15" t="s">
        <v>0</v>
      </c>
      <c r="F16" s="15" t="s">
        <v>3</v>
      </c>
      <c r="G16" s="17">
        <v>46016</v>
      </c>
      <c r="H16" s="15"/>
      <c r="I16" s="15"/>
      <c r="J16" s="15" t="s">
        <v>77</v>
      </c>
      <c r="K16" s="15" t="s">
        <v>157</v>
      </c>
    </row>
    <row r="17" spans="1:11" x14ac:dyDescent="0.3">
      <c r="A17" s="22">
        <v>46021</v>
      </c>
      <c r="B17" s="15" t="s">
        <v>3</v>
      </c>
      <c r="C17" s="15" t="s">
        <v>0</v>
      </c>
      <c r="D17" s="16">
        <v>1000.26</v>
      </c>
      <c r="E17" s="15" t="s">
        <v>0</v>
      </c>
      <c r="F17" s="15" t="s">
        <v>3</v>
      </c>
      <c r="G17" s="17">
        <v>46016</v>
      </c>
      <c r="H17" s="15"/>
      <c r="I17" s="15"/>
      <c r="J17" s="15" t="s">
        <v>77</v>
      </c>
      <c r="K17" s="15" t="s">
        <v>171</v>
      </c>
    </row>
    <row r="18" spans="1:11" x14ac:dyDescent="0.3">
      <c r="A18" s="13"/>
      <c r="B18" s="15"/>
      <c r="C18" s="15"/>
      <c r="D18" s="16"/>
      <c r="E18" s="15"/>
      <c r="F18" s="15"/>
      <c r="G18" s="15"/>
      <c r="H18" s="15"/>
      <c r="I18" s="15"/>
      <c r="J18" s="15"/>
      <c r="K18" s="15"/>
    </row>
    <row r="19" spans="1:11" x14ac:dyDescent="0.3">
      <c r="A19" s="13"/>
      <c r="B19" s="15"/>
      <c r="C19" s="15"/>
      <c r="D19" s="16"/>
      <c r="E19" s="15"/>
      <c r="F19" s="15"/>
      <c r="G19" s="15"/>
      <c r="H19" s="15"/>
      <c r="I19" s="15"/>
      <c r="J19" s="15"/>
      <c r="K19" s="15"/>
    </row>
    <row r="20" spans="1:11" x14ac:dyDescent="0.3">
      <c r="A20" s="13"/>
      <c r="B20" s="15"/>
      <c r="C20" s="15"/>
      <c r="D20" s="16"/>
      <c r="E20" s="15"/>
      <c r="F20" s="15"/>
      <c r="G20" s="15"/>
      <c r="H20" s="15"/>
      <c r="I20" s="15"/>
      <c r="J20" s="15"/>
      <c r="K20" s="15"/>
    </row>
    <row r="21" spans="1:11" x14ac:dyDescent="0.3">
      <c r="A21" s="13"/>
      <c r="B21" s="15"/>
      <c r="C21" s="15"/>
      <c r="D21" s="16"/>
      <c r="E21" s="15"/>
      <c r="F21" s="15"/>
      <c r="G21" s="15"/>
      <c r="H21" s="15"/>
      <c r="I21" s="15"/>
      <c r="J21" s="15"/>
      <c r="K21" s="15"/>
    </row>
    <row r="22" spans="1:11" x14ac:dyDescent="0.3">
      <c r="A22" s="13"/>
      <c r="B22" s="15"/>
      <c r="C22" s="15"/>
      <c r="D22" s="16"/>
      <c r="E22" s="15"/>
      <c r="F22" s="15"/>
      <c r="G22" s="15"/>
      <c r="H22" s="15"/>
      <c r="I22" s="15"/>
      <c r="J22" s="15"/>
      <c r="K22" s="15"/>
    </row>
    <row r="23" spans="1:11" x14ac:dyDescent="0.3">
      <c r="A23" s="13"/>
      <c r="B23" s="15"/>
      <c r="C23" s="15"/>
      <c r="D23" s="16"/>
      <c r="E23" s="15"/>
      <c r="F23" s="15"/>
      <c r="G23" s="15"/>
      <c r="H23" s="15"/>
      <c r="I23" s="15"/>
      <c r="J23" s="15"/>
      <c r="K23" s="15"/>
    </row>
    <row r="24" spans="1:11" x14ac:dyDescent="0.3">
      <c r="A24" s="13"/>
      <c r="B24" s="15"/>
      <c r="C24" s="15"/>
      <c r="D24" s="16"/>
      <c r="E24" s="15"/>
      <c r="F24" s="15"/>
      <c r="G24" s="15"/>
      <c r="H24" s="15"/>
      <c r="I24" s="15"/>
      <c r="J24" s="15"/>
      <c r="K24" s="15"/>
    </row>
    <row r="25" spans="1:11" x14ac:dyDescent="0.3">
      <c r="K25" s="15"/>
    </row>
    <row r="26" spans="1:11" x14ac:dyDescent="0.3">
      <c r="K26" s="1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C982C44-7C2A-4A6B-B422-5168C428C727}">
          <x14:formula1>
            <xm:f>Planilha1!$B$2:$B$8</xm:f>
          </x14:formula1>
          <xm:sqref>F25:F1048576 E1:E1048576</xm:sqref>
        </x14:dataValidation>
        <x14:dataValidation type="list" allowBlank="1" showInputMessage="1" showErrorMessage="1" xr:uid="{37C83A00-9852-4D4E-8391-6D6FD47C0AA3}">
          <x14:formula1>
            <xm:f>Planilha1!$G$2:$G$22</xm:f>
          </x14:formula1>
          <xm:sqref>F2:F24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A71E-0528-4D94-A866-8F8586BB208D}">
  <dimension ref="A1:X28"/>
  <sheetViews>
    <sheetView showGridLines="0" topLeftCell="D1" workbookViewId="0">
      <selection activeCell="K8" sqref="K8"/>
    </sheetView>
  </sheetViews>
  <sheetFormatPr defaultColWidth="9.109375" defaultRowHeight="14.4" x14ac:dyDescent="0.3"/>
  <cols>
    <col min="1" max="1" width="13.109375" style="12" customWidth="1"/>
    <col min="2" max="2" width="22.6640625" style="10" customWidth="1"/>
    <col min="3" max="3" width="40.5546875" style="10" customWidth="1"/>
    <col min="4" max="4" width="14.6640625" style="11" customWidth="1"/>
    <col min="5" max="5" width="26.88671875" style="10" bestFit="1" customWidth="1"/>
    <col min="6" max="6" width="30.33203125" style="10" customWidth="1"/>
    <col min="7" max="7" width="15.109375" style="10" customWidth="1"/>
    <col min="8" max="8" width="11.44140625" style="10" bestFit="1" customWidth="1"/>
    <col min="9" max="9" width="11.109375" style="10" bestFit="1" customWidth="1"/>
    <col min="10" max="10" width="10.5546875" style="10" customWidth="1"/>
    <col min="11" max="11" width="13.5546875" style="10" bestFit="1" customWidth="1"/>
    <col min="12" max="12" width="57.88671875" style="10" customWidth="1"/>
    <col min="13" max="13" width="12.33203125" style="10" bestFit="1" customWidth="1"/>
    <col min="14" max="14" width="13.88671875" style="10" bestFit="1" customWidth="1"/>
    <col min="15" max="17" width="9.109375" style="10"/>
    <col min="18" max="19" width="27" style="10" bestFit="1" customWidth="1"/>
    <col min="20" max="20" width="13.88671875" style="10" bestFit="1" customWidth="1"/>
    <col min="21" max="21" width="7" style="10" bestFit="1" customWidth="1"/>
    <col min="22" max="22" width="11.6640625" style="10" bestFit="1" customWidth="1"/>
    <col min="23" max="23" width="12.88671875" style="10" bestFit="1" customWidth="1"/>
    <col min="24" max="24" width="10.6640625" style="10" bestFit="1" customWidth="1"/>
    <col min="25" max="16384" width="9.109375" style="10"/>
  </cols>
  <sheetData>
    <row r="1" spans="1:24" s="12" customFormat="1" x14ac:dyDescent="0.3">
      <c r="A1" s="13" t="s">
        <v>56</v>
      </c>
      <c r="B1" s="13" t="s">
        <v>57</v>
      </c>
      <c r="C1" s="13" t="s">
        <v>58</v>
      </c>
      <c r="D1" s="14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 t="s">
        <v>155</v>
      </c>
      <c r="L1" s="13" t="s">
        <v>172</v>
      </c>
      <c r="M1"/>
      <c r="R1" s="10"/>
      <c r="S1" s="10"/>
      <c r="T1" s="10"/>
      <c r="U1" s="10"/>
    </row>
    <row r="2" spans="1:24" x14ac:dyDescent="0.3">
      <c r="A2" s="22">
        <v>46143</v>
      </c>
      <c r="B2" s="15" t="s">
        <v>3</v>
      </c>
      <c r="C2" s="15" t="s">
        <v>0</v>
      </c>
      <c r="D2" s="27">
        <v>269.57</v>
      </c>
      <c r="E2" s="15" t="s">
        <v>0</v>
      </c>
      <c r="F2" s="15" t="s">
        <v>3</v>
      </c>
      <c r="G2" s="17">
        <v>46048</v>
      </c>
      <c r="H2" s="21">
        <v>46143</v>
      </c>
      <c r="I2" s="21">
        <v>46143</v>
      </c>
      <c r="J2" s="15" t="s">
        <v>77</v>
      </c>
      <c r="K2" s="15" t="s">
        <v>171</v>
      </c>
      <c r="L2" s="15" t="s">
        <v>173</v>
      </c>
      <c r="M2" s="43" t="s">
        <v>174</v>
      </c>
      <c r="V2"/>
      <c r="W2"/>
      <c r="X2"/>
    </row>
    <row r="3" spans="1:24" x14ac:dyDescent="0.3">
      <c r="A3" s="22">
        <v>46143</v>
      </c>
      <c r="B3" s="15" t="s">
        <v>3</v>
      </c>
      <c r="C3" s="15" t="s">
        <v>0</v>
      </c>
      <c r="D3" s="16">
        <v>730.43</v>
      </c>
      <c r="E3" s="15" t="s">
        <v>0</v>
      </c>
      <c r="F3" s="15" t="s">
        <v>3</v>
      </c>
      <c r="G3" s="17">
        <v>46048</v>
      </c>
      <c r="H3" s="21">
        <v>46143</v>
      </c>
      <c r="I3" s="21">
        <v>46143</v>
      </c>
      <c r="J3" s="15" t="s">
        <v>77</v>
      </c>
      <c r="K3" s="15" t="s">
        <v>171</v>
      </c>
      <c r="L3" s="15" t="s">
        <v>173</v>
      </c>
      <c r="M3" s="43" t="s">
        <v>175</v>
      </c>
      <c r="R3" s="39" t="s">
        <v>60</v>
      </c>
      <c r="S3" s="39" t="s">
        <v>58</v>
      </c>
      <c r="T3" t="s">
        <v>73</v>
      </c>
      <c r="V3"/>
      <c r="W3"/>
      <c r="X3"/>
    </row>
    <row r="4" spans="1:24" x14ac:dyDescent="0.3">
      <c r="A4" s="22">
        <v>46296</v>
      </c>
      <c r="B4" s="15" t="s">
        <v>3</v>
      </c>
      <c r="C4" s="15" t="s">
        <v>0</v>
      </c>
      <c r="D4" s="16">
        <v>1138.3499999999999</v>
      </c>
      <c r="E4" s="15" t="s">
        <v>0</v>
      </c>
      <c r="F4" s="15" t="s">
        <v>3</v>
      </c>
      <c r="G4" s="17">
        <v>46048</v>
      </c>
      <c r="H4" s="21">
        <v>46296</v>
      </c>
      <c r="I4" s="21">
        <v>46357</v>
      </c>
      <c r="J4" s="15" t="s">
        <v>77</v>
      </c>
      <c r="K4" s="15" t="s">
        <v>176</v>
      </c>
      <c r="L4" s="15" t="s">
        <v>173</v>
      </c>
      <c r="M4" s="43" t="s">
        <v>177</v>
      </c>
      <c r="R4" t="s">
        <v>2</v>
      </c>
      <c r="S4" t="s">
        <v>178</v>
      </c>
      <c r="T4">
        <v>2900</v>
      </c>
      <c r="V4"/>
      <c r="W4"/>
      <c r="X4"/>
    </row>
    <row r="5" spans="1:24" x14ac:dyDescent="0.3">
      <c r="A5" s="22">
        <v>46327</v>
      </c>
      <c r="B5" s="15" t="s">
        <v>138</v>
      </c>
      <c r="C5" s="15" t="s">
        <v>179</v>
      </c>
      <c r="D5" s="16">
        <v>181.83</v>
      </c>
      <c r="E5" s="15" t="s">
        <v>10</v>
      </c>
      <c r="F5" s="15" t="s">
        <v>25</v>
      </c>
      <c r="G5" s="17">
        <v>46048</v>
      </c>
      <c r="H5" s="21">
        <v>46327</v>
      </c>
      <c r="I5" s="21">
        <v>46357</v>
      </c>
      <c r="J5" s="15" t="s">
        <v>77</v>
      </c>
      <c r="K5" s="15" t="s">
        <v>176</v>
      </c>
      <c r="L5" s="15"/>
      <c r="R5"/>
      <c r="S5" t="s">
        <v>180</v>
      </c>
      <c r="T5">
        <v>16400</v>
      </c>
      <c r="V5"/>
      <c r="W5"/>
      <c r="X5"/>
    </row>
    <row r="6" spans="1:24" x14ac:dyDescent="0.3">
      <c r="A6" s="22">
        <v>46327</v>
      </c>
      <c r="B6" s="15" t="s">
        <v>138</v>
      </c>
      <c r="C6" s="15" t="s">
        <v>179</v>
      </c>
      <c r="D6" s="16">
        <v>220.5</v>
      </c>
      <c r="E6" s="15" t="s">
        <v>10</v>
      </c>
      <c r="F6" s="15" t="s">
        <v>25</v>
      </c>
      <c r="G6" s="17">
        <v>46048</v>
      </c>
      <c r="H6" s="21">
        <v>46327</v>
      </c>
      <c r="I6" s="21">
        <v>46357</v>
      </c>
      <c r="J6" s="15" t="s">
        <v>77</v>
      </c>
      <c r="K6" s="15" t="s">
        <v>176</v>
      </c>
      <c r="L6" s="15"/>
      <c r="R6" t="s">
        <v>152</v>
      </c>
      <c r="S6"/>
      <c r="T6">
        <v>19300</v>
      </c>
      <c r="V6"/>
      <c r="W6"/>
      <c r="X6"/>
    </row>
    <row r="7" spans="1:24" x14ac:dyDescent="0.3">
      <c r="A7" s="22">
        <v>46357</v>
      </c>
      <c r="B7" s="15" t="s">
        <v>138</v>
      </c>
      <c r="C7" s="15" t="s">
        <v>179</v>
      </c>
      <c r="D7" s="16">
        <v>21.77</v>
      </c>
      <c r="E7" s="15" t="s">
        <v>10</v>
      </c>
      <c r="F7" s="15" t="s">
        <v>25</v>
      </c>
      <c r="G7" s="17">
        <v>46048</v>
      </c>
      <c r="H7" s="21">
        <v>46327</v>
      </c>
      <c r="I7" s="21">
        <v>46357</v>
      </c>
      <c r="J7" s="15" t="s">
        <v>77</v>
      </c>
      <c r="K7" s="15" t="s">
        <v>176</v>
      </c>
      <c r="L7" s="15"/>
      <c r="R7" t="s">
        <v>0</v>
      </c>
      <c r="S7" t="s">
        <v>181</v>
      </c>
      <c r="T7">
        <v>57.89</v>
      </c>
      <c r="V7"/>
      <c r="W7"/>
      <c r="X7"/>
    </row>
    <row r="8" spans="1:24" x14ac:dyDescent="0.3">
      <c r="A8" s="22">
        <v>46357</v>
      </c>
      <c r="B8" s="15" t="s">
        <v>182</v>
      </c>
      <c r="C8" s="15" t="s">
        <v>180</v>
      </c>
      <c r="D8" s="16">
        <v>11600</v>
      </c>
      <c r="E8" s="15" t="s">
        <v>2</v>
      </c>
      <c r="F8" s="15" t="s">
        <v>9</v>
      </c>
      <c r="G8" s="17">
        <v>46048</v>
      </c>
      <c r="H8" s="21">
        <v>46357</v>
      </c>
      <c r="I8" s="21">
        <v>46357</v>
      </c>
      <c r="J8" s="15">
        <v>27</v>
      </c>
      <c r="K8" s="15" t="s">
        <v>183</v>
      </c>
      <c r="L8" s="15"/>
      <c r="R8"/>
      <c r="S8" t="s">
        <v>0</v>
      </c>
      <c r="T8">
        <v>13509.26</v>
      </c>
      <c r="V8"/>
      <c r="W8"/>
      <c r="X8"/>
    </row>
    <row r="9" spans="1:24" x14ac:dyDescent="0.3">
      <c r="A9" s="22">
        <v>46357</v>
      </c>
      <c r="B9" s="15" t="s">
        <v>184</v>
      </c>
      <c r="C9" s="15" t="s">
        <v>178</v>
      </c>
      <c r="D9" s="16">
        <v>2900</v>
      </c>
      <c r="E9" s="15" t="s">
        <v>2</v>
      </c>
      <c r="F9" s="15" t="s">
        <v>9</v>
      </c>
      <c r="G9" s="17">
        <v>46048</v>
      </c>
      <c r="H9" s="21">
        <v>46357</v>
      </c>
      <c r="I9" s="21">
        <v>46357</v>
      </c>
      <c r="J9" s="15">
        <v>165</v>
      </c>
      <c r="K9" s="15" t="s">
        <v>185</v>
      </c>
      <c r="L9" s="15"/>
      <c r="R9" t="s">
        <v>153</v>
      </c>
      <c r="S9"/>
      <c r="T9">
        <v>13567.15</v>
      </c>
      <c r="V9"/>
      <c r="W9"/>
      <c r="X9"/>
    </row>
    <row r="10" spans="1:24" x14ac:dyDescent="0.3">
      <c r="A10" s="22" t="s">
        <v>186</v>
      </c>
      <c r="B10" s="15" t="s">
        <v>3</v>
      </c>
      <c r="C10" s="15" t="s">
        <v>181</v>
      </c>
      <c r="D10" s="16">
        <v>19.3</v>
      </c>
      <c r="E10" s="15" t="s">
        <v>0</v>
      </c>
      <c r="F10" s="15" t="s">
        <v>3</v>
      </c>
      <c r="G10" s="17">
        <v>46048</v>
      </c>
      <c r="H10" s="21" t="s">
        <v>186</v>
      </c>
      <c r="I10" s="21" t="s">
        <v>186</v>
      </c>
      <c r="J10" s="15" t="s">
        <v>77</v>
      </c>
      <c r="K10" s="15" t="s">
        <v>176</v>
      </c>
      <c r="L10" s="15"/>
      <c r="R10" t="s">
        <v>71</v>
      </c>
      <c r="S10" t="s">
        <v>179</v>
      </c>
      <c r="T10">
        <v>424.1</v>
      </c>
    </row>
    <row r="11" spans="1:24" x14ac:dyDescent="0.3">
      <c r="A11" s="22" t="s">
        <v>186</v>
      </c>
      <c r="B11" s="15" t="s">
        <v>3</v>
      </c>
      <c r="C11" s="15" t="s">
        <v>181</v>
      </c>
      <c r="D11" s="16">
        <v>38.590000000000003</v>
      </c>
      <c r="E11" s="15" t="s">
        <v>0</v>
      </c>
      <c r="F11" s="15" t="s">
        <v>3</v>
      </c>
      <c r="G11" s="17">
        <v>46048</v>
      </c>
      <c r="H11" s="21" t="s">
        <v>186</v>
      </c>
      <c r="I11" s="21" t="s">
        <v>186</v>
      </c>
      <c r="J11" s="15" t="s">
        <v>77</v>
      </c>
      <c r="K11" s="15" t="s">
        <v>176</v>
      </c>
      <c r="L11" s="15"/>
      <c r="R11"/>
      <c r="S11" t="s">
        <v>187</v>
      </c>
      <c r="T11">
        <v>15.65</v>
      </c>
    </row>
    <row r="12" spans="1:24" x14ac:dyDescent="0.3">
      <c r="A12" s="13" t="s">
        <v>188</v>
      </c>
      <c r="B12" s="15" t="s">
        <v>3</v>
      </c>
      <c r="C12" s="15" t="s">
        <v>0</v>
      </c>
      <c r="D12" s="16">
        <v>10300</v>
      </c>
      <c r="E12" s="15" t="s">
        <v>0</v>
      </c>
      <c r="F12" s="15" t="s">
        <v>3</v>
      </c>
      <c r="G12" s="17">
        <v>46048</v>
      </c>
      <c r="H12" s="15"/>
      <c r="I12" s="15"/>
      <c r="J12" s="15" t="s">
        <v>189</v>
      </c>
      <c r="K12" s="15" t="s">
        <v>190</v>
      </c>
      <c r="L12" s="15" t="s">
        <v>173</v>
      </c>
      <c r="R12" t="s">
        <v>83</v>
      </c>
      <c r="S12"/>
      <c r="T12">
        <v>439.75</v>
      </c>
    </row>
    <row r="13" spans="1:24" x14ac:dyDescent="0.3">
      <c r="A13" s="22" t="s">
        <v>191</v>
      </c>
      <c r="B13" s="15" t="s">
        <v>3</v>
      </c>
      <c r="C13" s="15" t="s">
        <v>0</v>
      </c>
      <c r="D13" s="16">
        <v>1070.9100000000001</v>
      </c>
      <c r="E13" s="15" t="s">
        <v>0</v>
      </c>
      <c r="F13" s="15" t="s">
        <v>3</v>
      </c>
      <c r="G13" s="17">
        <v>46048</v>
      </c>
      <c r="H13" s="21" t="s">
        <v>191</v>
      </c>
      <c r="I13" s="21" t="s">
        <v>191</v>
      </c>
      <c r="J13" s="15" t="s">
        <v>77</v>
      </c>
      <c r="K13" s="15" t="s">
        <v>192</v>
      </c>
      <c r="L13" s="15" t="s">
        <v>173</v>
      </c>
      <c r="R13" t="s">
        <v>120</v>
      </c>
      <c r="S13" t="s">
        <v>193</v>
      </c>
      <c r="T13">
        <v>1500</v>
      </c>
    </row>
    <row r="14" spans="1:24" x14ac:dyDescent="0.3">
      <c r="A14" s="22" t="s">
        <v>191</v>
      </c>
      <c r="B14" s="15" t="s">
        <v>194</v>
      </c>
      <c r="C14" s="15" t="s">
        <v>180</v>
      </c>
      <c r="D14" s="16">
        <v>1000</v>
      </c>
      <c r="E14" s="15" t="s">
        <v>2</v>
      </c>
      <c r="F14" s="15" t="s">
        <v>9</v>
      </c>
      <c r="G14" s="17">
        <v>46048</v>
      </c>
      <c r="H14" s="21" t="s">
        <v>191</v>
      </c>
      <c r="I14" s="21" t="s">
        <v>191</v>
      </c>
      <c r="J14" s="15">
        <v>516</v>
      </c>
      <c r="K14" s="15" t="s">
        <v>195</v>
      </c>
      <c r="L14" s="15"/>
      <c r="R14" t="s">
        <v>124</v>
      </c>
      <c r="S14"/>
      <c r="T14">
        <v>1500</v>
      </c>
    </row>
    <row r="15" spans="1:24" x14ac:dyDescent="0.3">
      <c r="A15" s="22" t="s">
        <v>196</v>
      </c>
      <c r="B15" s="15" t="s">
        <v>197</v>
      </c>
      <c r="C15" s="15" t="s">
        <v>187</v>
      </c>
      <c r="D15" s="16">
        <v>15.65</v>
      </c>
      <c r="E15" s="15" t="s">
        <v>12</v>
      </c>
      <c r="F15" s="15" t="s">
        <v>26</v>
      </c>
      <c r="G15" s="17" t="s">
        <v>198</v>
      </c>
      <c r="H15" s="21" t="s">
        <v>199</v>
      </c>
      <c r="I15" s="21" t="s">
        <v>199</v>
      </c>
      <c r="J15" s="15" t="s">
        <v>77</v>
      </c>
      <c r="K15" s="15" t="s">
        <v>200</v>
      </c>
      <c r="L15" s="15" t="s">
        <v>201</v>
      </c>
      <c r="R15" t="s">
        <v>87</v>
      </c>
      <c r="S15" t="s">
        <v>87</v>
      </c>
      <c r="T15"/>
    </row>
    <row r="16" spans="1:24" x14ac:dyDescent="0.3">
      <c r="A16" s="22">
        <v>46041</v>
      </c>
      <c r="B16" s="15" t="s">
        <v>168</v>
      </c>
      <c r="C16" s="15" t="s">
        <v>180</v>
      </c>
      <c r="D16" s="16">
        <v>3800</v>
      </c>
      <c r="E16" s="15" t="s">
        <v>2</v>
      </c>
      <c r="F16" s="15" t="s">
        <v>9</v>
      </c>
      <c r="G16" s="17">
        <v>46041</v>
      </c>
      <c r="H16" s="21">
        <v>46041</v>
      </c>
      <c r="I16" s="21">
        <v>46041</v>
      </c>
      <c r="J16" s="45">
        <v>33</v>
      </c>
      <c r="K16" s="15" t="s">
        <v>202</v>
      </c>
      <c r="L16" s="15"/>
      <c r="R16" t="s">
        <v>89</v>
      </c>
      <c r="S16"/>
      <c r="T16"/>
    </row>
    <row r="17" spans="1:24" x14ac:dyDescent="0.3">
      <c r="A17" s="22">
        <v>46042</v>
      </c>
      <c r="B17" s="15" t="s">
        <v>203</v>
      </c>
      <c r="C17" s="15" t="s">
        <v>193</v>
      </c>
      <c r="D17" s="16">
        <v>1500</v>
      </c>
      <c r="E17" s="15" t="s">
        <v>120</v>
      </c>
      <c r="F17" s="15" t="s">
        <v>14</v>
      </c>
      <c r="G17" s="17">
        <v>46042</v>
      </c>
      <c r="H17" s="21">
        <v>46042</v>
      </c>
      <c r="I17" s="21">
        <v>46042</v>
      </c>
      <c r="J17" s="15">
        <v>20</v>
      </c>
      <c r="K17" s="15" t="s">
        <v>160</v>
      </c>
      <c r="L17" s="15"/>
      <c r="R17" t="s">
        <v>68</v>
      </c>
      <c r="S17" t="s">
        <v>204</v>
      </c>
      <c r="T17">
        <v>50000</v>
      </c>
    </row>
    <row r="18" spans="1:24" x14ac:dyDescent="0.3">
      <c r="A18" s="22" t="s">
        <v>205</v>
      </c>
      <c r="B18" s="15" t="s">
        <v>206</v>
      </c>
      <c r="C18" s="15" t="s">
        <v>204</v>
      </c>
      <c r="D18" s="16">
        <v>50000</v>
      </c>
      <c r="E18" s="15" t="s">
        <v>10</v>
      </c>
      <c r="F18" s="15" t="s">
        <v>24</v>
      </c>
      <c r="G18" s="17">
        <v>46042</v>
      </c>
      <c r="H18" s="21">
        <v>46049</v>
      </c>
      <c r="I18" s="21">
        <v>46049</v>
      </c>
      <c r="J18" s="15">
        <v>30775</v>
      </c>
      <c r="K18" s="15" t="s">
        <v>207</v>
      </c>
      <c r="L18" s="15"/>
      <c r="R18" t="s">
        <v>84</v>
      </c>
      <c r="S18"/>
      <c r="T18">
        <v>50000</v>
      </c>
    </row>
    <row r="19" spans="1:24" x14ac:dyDescent="0.3">
      <c r="A19" s="22">
        <v>46357</v>
      </c>
      <c r="B19" s="15" t="s">
        <v>138</v>
      </c>
      <c r="C19" s="15" t="s">
        <v>179</v>
      </c>
      <c r="D19" s="16">
        <v>32.659999999999997</v>
      </c>
      <c r="E19" s="15" t="s">
        <v>10</v>
      </c>
      <c r="F19" s="15" t="s">
        <v>25</v>
      </c>
      <c r="G19" s="17">
        <v>46048</v>
      </c>
      <c r="H19" s="21">
        <v>46049</v>
      </c>
      <c r="I19" s="21">
        <v>46049</v>
      </c>
      <c r="J19" s="15" t="s">
        <v>77</v>
      </c>
      <c r="K19" s="15" t="s">
        <v>192</v>
      </c>
      <c r="L19" s="15"/>
      <c r="R19" t="s">
        <v>92</v>
      </c>
      <c r="S19"/>
      <c r="T19">
        <v>84806.9</v>
      </c>
    </row>
    <row r="20" spans="1:24" x14ac:dyDescent="0.3">
      <c r="A20" s="22"/>
      <c r="B20" s="15" t="s">
        <v>3</v>
      </c>
      <c r="C20" s="15" t="s">
        <v>208</v>
      </c>
      <c r="D20" s="16">
        <v>98.98</v>
      </c>
      <c r="E20" s="15" t="s">
        <v>0</v>
      </c>
      <c r="F20" s="15" t="s">
        <v>3</v>
      </c>
      <c r="G20" s="17">
        <v>46048</v>
      </c>
      <c r="H20" s="21"/>
      <c r="I20" s="21"/>
      <c r="J20" s="15"/>
      <c r="K20" s="15"/>
      <c r="L20" s="15"/>
      <c r="R20"/>
      <c r="S20"/>
      <c r="T20"/>
    </row>
    <row r="21" spans="1:24" x14ac:dyDescent="0.3">
      <c r="A21" s="22"/>
      <c r="B21" s="15" t="s">
        <v>209</v>
      </c>
      <c r="C21" s="15" t="s">
        <v>210</v>
      </c>
      <c r="D21" s="16">
        <v>519.98</v>
      </c>
      <c r="E21" s="15" t="s">
        <v>10</v>
      </c>
      <c r="F21" s="15" t="s">
        <v>25</v>
      </c>
      <c r="G21" s="17">
        <v>46048</v>
      </c>
      <c r="H21" s="21"/>
      <c r="I21" s="21"/>
      <c r="J21" s="15"/>
      <c r="K21" s="15" t="s">
        <v>211</v>
      </c>
      <c r="L21" s="15" t="s">
        <v>212</v>
      </c>
      <c r="M21" s="15" t="s">
        <v>213</v>
      </c>
      <c r="N21" s="43"/>
      <c r="S21"/>
      <c r="T21"/>
      <c r="U21"/>
      <c r="W21"/>
      <c r="X21"/>
    </row>
    <row r="22" spans="1:24" x14ac:dyDescent="0.3">
      <c r="A22" s="22"/>
      <c r="B22" s="15" t="s">
        <v>214</v>
      </c>
      <c r="C22" s="15" t="s">
        <v>210</v>
      </c>
      <c r="D22" s="16">
        <v>775.8</v>
      </c>
      <c r="E22" s="15" t="s">
        <v>10</v>
      </c>
      <c r="F22" s="15" t="s">
        <v>25</v>
      </c>
      <c r="G22" s="17">
        <v>46048</v>
      </c>
      <c r="H22" s="21"/>
      <c r="I22" s="21"/>
      <c r="J22" s="15"/>
      <c r="K22" s="15"/>
      <c r="L22" s="15"/>
      <c r="R22"/>
      <c r="S22"/>
      <c r="T22"/>
    </row>
    <row r="23" spans="1:24" x14ac:dyDescent="0.3">
      <c r="A23" s="13"/>
      <c r="B23" s="15"/>
      <c r="C23" s="15"/>
      <c r="D23" s="16"/>
      <c r="E23" s="15"/>
      <c r="F23" s="15"/>
      <c r="G23" s="15"/>
      <c r="H23" s="15"/>
      <c r="I23" s="15"/>
      <c r="J23" s="15"/>
      <c r="K23" s="15"/>
      <c r="L23" s="15"/>
      <c r="R23"/>
      <c r="S23"/>
      <c r="T23"/>
    </row>
    <row r="27" spans="1:24" x14ac:dyDescent="0.3">
      <c r="R27"/>
      <c r="S27"/>
      <c r="T27"/>
    </row>
    <row r="28" spans="1:24" x14ac:dyDescent="0.3">
      <c r="R28"/>
      <c r="S28"/>
      <c r="T28"/>
    </row>
  </sheetData>
  <autoFilter ref="A1:X1" xr:uid="{1202A71E-0528-4D94-A866-8F8586BB208D}"/>
  <hyperlinks>
    <hyperlink ref="M2" r:id="rId2" xr:uid="{21F9F49F-5020-42F4-BEED-1D1A6AAAA8E1}"/>
    <hyperlink ref="M3" r:id="rId3" xr:uid="{44F0B5A8-E59E-4FF3-A2A2-09A7574E84D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62CC2F-0940-4194-B0E4-F89789300F2C}">
          <x14:formula1>
            <xm:f>Planilha1!$B$2:$B$8</xm:f>
          </x14:formula1>
          <xm:sqref>F24:F1048576 E1:E1048576</xm:sqref>
        </x14:dataValidation>
        <x14:dataValidation type="list" allowBlank="1" showInputMessage="1" showErrorMessage="1" xr:uid="{2E7BD298-9AE1-440B-99C6-497BE78F2EB5}">
          <x14:formula1>
            <xm:f>Planilha1!$G$2:$G$22</xm:f>
          </x14:formula1>
          <xm:sqref>F2:F23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35F8-9DD2-4F8B-87E6-F0645872F2EE}">
  <dimension ref="A1:Y24"/>
  <sheetViews>
    <sheetView showGridLines="0" workbookViewId="0">
      <selection activeCell="D6" sqref="D6"/>
    </sheetView>
  </sheetViews>
  <sheetFormatPr defaultColWidth="9.109375" defaultRowHeight="14.4" x14ac:dyDescent="0.3"/>
  <cols>
    <col min="1" max="1" width="13.109375" style="12" customWidth="1"/>
    <col min="2" max="2" width="22.6640625" style="10" customWidth="1"/>
    <col min="3" max="3" width="40.5546875" style="10" customWidth="1"/>
    <col min="4" max="4" width="14.6640625" style="11" customWidth="1"/>
    <col min="5" max="5" width="26.88671875" style="10" bestFit="1" customWidth="1"/>
    <col min="6" max="6" width="30.33203125" style="10" customWidth="1"/>
    <col min="7" max="7" width="15.109375" style="10" customWidth="1"/>
    <col min="8" max="8" width="11.44140625" style="10" bestFit="1" customWidth="1"/>
    <col min="9" max="9" width="11.109375" style="10" bestFit="1" customWidth="1"/>
    <col min="10" max="11" width="10.5546875" style="10" customWidth="1"/>
    <col min="12" max="12" width="13.5546875" style="10" bestFit="1" customWidth="1"/>
    <col min="13" max="13" width="57.88671875" style="10" customWidth="1"/>
    <col min="14" max="14" width="12.33203125" style="10" bestFit="1" customWidth="1"/>
    <col min="15" max="15" width="13.88671875" style="10" bestFit="1" customWidth="1"/>
    <col min="16" max="18" width="9.109375" style="10"/>
    <col min="19" max="20" width="27" style="10" bestFit="1" customWidth="1"/>
    <col min="21" max="21" width="13.88671875" style="10" bestFit="1" customWidth="1"/>
    <col min="22" max="22" width="7" style="10" bestFit="1" customWidth="1"/>
    <col min="23" max="23" width="11.6640625" style="10" bestFit="1" customWidth="1"/>
    <col min="24" max="24" width="12.88671875" style="10" bestFit="1" customWidth="1"/>
    <col min="25" max="25" width="10.6640625" style="10" bestFit="1" customWidth="1"/>
    <col min="26" max="16384" width="9.109375" style="10"/>
  </cols>
  <sheetData>
    <row r="1" spans="1:25" s="12" customFormat="1" x14ac:dyDescent="0.3">
      <c r="A1" s="13" t="s">
        <v>56</v>
      </c>
      <c r="B1" s="13" t="s">
        <v>57</v>
      </c>
      <c r="C1" s="13" t="s">
        <v>58</v>
      </c>
      <c r="D1" s="14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/>
      <c r="L1" s="13" t="s">
        <v>155</v>
      </c>
      <c r="M1" s="13" t="s">
        <v>172</v>
      </c>
      <c r="N1"/>
      <c r="S1" s="10"/>
      <c r="T1" s="10"/>
      <c r="U1" s="10"/>
      <c r="V1" s="10"/>
    </row>
    <row r="2" spans="1:25" x14ac:dyDescent="0.3">
      <c r="A2" s="22">
        <v>46064</v>
      </c>
      <c r="B2" s="15" t="s">
        <v>138</v>
      </c>
      <c r="C2" s="15" t="s">
        <v>215</v>
      </c>
      <c r="D2" s="27">
        <v>181.83</v>
      </c>
      <c r="E2" s="15" t="s">
        <v>10</v>
      </c>
      <c r="F2" s="15" t="s">
        <v>25</v>
      </c>
      <c r="G2" s="17" t="s">
        <v>216</v>
      </c>
      <c r="H2" s="21">
        <v>46064</v>
      </c>
      <c r="I2" s="21">
        <v>46064</v>
      </c>
      <c r="J2" s="15">
        <v>17992</v>
      </c>
      <c r="K2" s="15" t="s">
        <v>77</v>
      </c>
      <c r="L2" s="15" t="s">
        <v>192</v>
      </c>
      <c r="M2" s="15"/>
      <c r="N2" s="43"/>
      <c r="W2"/>
      <c r="X2"/>
      <c r="Y2"/>
    </row>
    <row r="3" spans="1:25" x14ac:dyDescent="0.3">
      <c r="A3" s="22">
        <v>46064</v>
      </c>
      <c r="B3" s="15" t="s">
        <v>138</v>
      </c>
      <c r="C3" s="15" t="s">
        <v>215</v>
      </c>
      <c r="D3" s="16">
        <v>310.5</v>
      </c>
      <c r="E3" s="15" t="s">
        <v>10</v>
      </c>
      <c r="F3" s="15" t="s">
        <v>25</v>
      </c>
      <c r="G3" s="17" t="s">
        <v>216</v>
      </c>
      <c r="H3" s="21">
        <v>46064</v>
      </c>
      <c r="I3" s="21">
        <v>46064</v>
      </c>
      <c r="J3" s="15">
        <v>17991</v>
      </c>
      <c r="K3" s="15" t="s">
        <v>77</v>
      </c>
      <c r="L3" s="15" t="s">
        <v>192</v>
      </c>
      <c r="M3" s="15"/>
      <c r="N3" s="43"/>
      <c r="S3"/>
      <c r="T3"/>
      <c r="U3"/>
      <c r="W3"/>
      <c r="X3"/>
      <c r="Y3"/>
    </row>
    <row r="4" spans="1:25" x14ac:dyDescent="0.3">
      <c r="A4" s="22">
        <v>46073</v>
      </c>
      <c r="B4" s="15" t="s">
        <v>209</v>
      </c>
      <c r="C4" s="15" t="s">
        <v>210</v>
      </c>
      <c r="D4" s="16">
        <v>490.2</v>
      </c>
      <c r="E4" s="15" t="s">
        <v>10</v>
      </c>
      <c r="F4" s="15" t="s">
        <v>25</v>
      </c>
      <c r="G4" s="17" t="s">
        <v>216</v>
      </c>
      <c r="H4" s="21"/>
      <c r="I4" s="21"/>
      <c r="J4" s="15"/>
      <c r="K4" s="15" t="s">
        <v>211</v>
      </c>
      <c r="L4" s="15" t="s">
        <v>212</v>
      </c>
      <c r="M4" s="15" t="s">
        <v>213</v>
      </c>
      <c r="N4" s="43"/>
      <c r="S4"/>
      <c r="T4"/>
      <c r="U4"/>
      <c r="W4"/>
      <c r="X4"/>
      <c r="Y4"/>
    </row>
    <row r="5" spans="1:25" x14ac:dyDescent="0.3">
      <c r="A5" s="22">
        <v>46076</v>
      </c>
      <c r="B5" s="15" t="s">
        <v>206</v>
      </c>
      <c r="C5" s="15" t="s">
        <v>217</v>
      </c>
      <c r="D5" s="16">
        <v>50000</v>
      </c>
      <c r="E5" s="15" t="s">
        <v>10</v>
      </c>
      <c r="F5" s="15" t="s">
        <v>24</v>
      </c>
      <c r="G5" s="17" t="s">
        <v>216</v>
      </c>
      <c r="H5" s="21">
        <v>46076</v>
      </c>
      <c r="I5" s="21">
        <v>46076</v>
      </c>
      <c r="J5" s="15">
        <v>30843</v>
      </c>
      <c r="K5" s="15" t="s">
        <v>211</v>
      </c>
      <c r="L5" s="15" t="s">
        <v>218</v>
      </c>
      <c r="M5" s="15"/>
      <c r="S5"/>
      <c r="T5"/>
      <c r="U5"/>
      <c r="W5"/>
      <c r="X5"/>
      <c r="Y5"/>
    </row>
    <row r="6" spans="1:25" x14ac:dyDescent="0.3">
      <c r="A6" s="22"/>
      <c r="B6" s="15" t="s">
        <v>214</v>
      </c>
      <c r="C6" s="15" t="s">
        <v>219</v>
      </c>
      <c r="D6" s="16">
        <v>682.2</v>
      </c>
      <c r="E6" s="15" t="s">
        <v>10</v>
      </c>
      <c r="F6" s="15" t="s">
        <v>25</v>
      </c>
      <c r="G6" s="17" t="s">
        <v>216</v>
      </c>
      <c r="H6" s="21"/>
      <c r="I6" s="21"/>
      <c r="J6" s="15"/>
      <c r="K6" s="15" t="s">
        <v>211</v>
      </c>
      <c r="L6" s="15" t="s">
        <v>212</v>
      </c>
      <c r="M6" s="15" t="s">
        <v>213</v>
      </c>
      <c r="N6" s="43"/>
      <c r="S6"/>
      <c r="T6"/>
      <c r="U6"/>
      <c r="W6"/>
      <c r="X6"/>
      <c r="Y6"/>
    </row>
    <row r="7" spans="1:25" x14ac:dyDescent="0.3">
      <c r="A7" s="22"/>
      <c r="B7" s="15" t="s">
        <v>3</v>
      </c>
      <c r="C7" s="15" t="s">
        <v>0</v>
      </c>
      <c r="D7" s="16">
        <v>1070.9100000000001</v>
      </c>
      <c r="E7" s="15" t="s">
        <v>0</v>
      </c>
      <c r="F7" s="15" t="s">
        <v>3</v>
      </c>
      <c r="G7" s="17" t="s">
        <v>216</v>
      </c>
      <c r="H7" s="21"/>
      <c r="I7" s="21"/>
      <c r="J7" s="15"/>
      <c r="K7" s="15"/>
      <c r="L7" s="15"/>
      <c r="R7" t="s">
        <v>120</v>
      </c>
      <c r="S7" t="s">
        <v>193</v>
      </c>
      <c r="T7">
        <v>1500</v>
      </c>
      <c r="Y7"/>
    </row>
    <row r="8" spans="1:25" x14ac:dyDescent="0.3">
      <c r="A8" s="13"/>
      <c r="B8" s="15"/>
      <c r="C8" s="15"/>
      <c r="D8" s="16"/>
      <c r="E8" s="15"/>
      <c r="F8" s="15"/>
      <c r="G8" s="17"/>
      <c r="H8" s="15"/>
      <c r="I8" s="15"/>
      <c r="J8" s="15"/>
      <c r="K8" s="15"/>
      <c r="L8" s="15"/>
      <c r="R8"/>
      <c r="S8"/>
      <c r="T8"/>
      <c r="Y8"/>
    </row>
    <row r="9" spans="1:25" x14ac:dyDescent="0.3">
      <c r="A9" s="22"/>
      <c r="B9" s="15"/>
      <c r="C9" s="15"/>
      <c r="D9" s="16"/>
      <c r="E9" s="15"/>
      <c r="F9" s="15"/>
      <c r="G9" s="17"/>
      <c r="H9" s="21"/>
      <c r="I9" s="21"/>
      <c r="J9" s="15"/>
      <c r="K9" s="15"/>
      <c r="L9" s="15"/>
      <c r="M9" s="15"/>
      <c r="S9"/>
      <c r="T9"/>
      <c r="U9"/>
    </row>
    <row r="10" spans="1:25" x14ac:dyDescent="0.3">
      <c r="A10" s="22"/>
      <c r="B10" s="15"/>
      <c r="C10" s="15"/>
      <c r="D10" s="16"/>
      <c r="E10" s="15"/>
      <c r="F10" s="15"/>
      <c r="G10" s="17"/>
      <c r="H10" s="21"/>
      <c r="I10" s="21"/>
      <c r="J10" s="15"/>
      <c r="K10" s="15"/>
      <c r="L10" s="15"/>
      <c r="M10" s="15"/>
      <c r="S10"/>
      <c r="T10"/>
      <c r="U10"/>
    </row>
    <row r="11" spans="1:25" x14ac:dyDescent="0.3">
      <c r="A11" s="13"/>
      <c r="B11" s="15"/>
      <c r="C11" s="15"/>
      <c r="D11" s="16"/>
      <c r="E11" s="15"/>
      <c r="F11" s="15"/>
      <c r="G11" s="17"/>
      <c r="H11" s="15"/>
      <c r="I11" s="15"/>
      <c r="J11" s="15"/>
      <c r="K11" s="15"/>
      <c r="L11" s="15"/>
      <c r="M11" s="15"/>
      <c r="S11"/>
      <c r="T11"/>
      <c r="U11"/>
    </row>
    <row r="12" spans="1:25" x14ac:dyDescent="0.3">
      <c r="A12" s="22"/>
      <c r="B12" s="15"/>
      <c r="C12" s="15"/>
      <c r="D12" s="16"/>
      <c r="E12" s="15"/>
      <c r="F12" s="15"/>
      <c r="G12" s="17"/>
      <c r="H12" s="21"/>
      <c r="I12" s="21"/>
      <c r="J12" s="15"/>
      <c r="K12" s="15"/>
      <c r="L12" s="15"/>
      <c r="M12" s="15"/>
      <c r="S12"/>
      <c r="T12"/>
      <c r="U12"/>
    </row>
    <row r="13" spans="1:25" x14ac:dyDescent="0.3">
      <c r="A13" s="22"/>
      <c r="B13" s="15"/>
      <c r="C13" s="15"/>
      <c r="D13" s="16"/>
      <c r="E13" s="15"/>
      <c r="F13" s="15"/>
      <c r="G13" s="17"/>
      <c r="H13" s="21"/>
      <c r="I13" s="21"/>
      <c r="J13" s="15"/>
      <c r="K13" s="15"/>
      <c r="L13" s="15"/>
      <c r="M13" s="15"/>
      <c r="S13"/>
      <c r="T13"/>
      <c r="U13"/>
    </row>
    <row r="14" spans="1:25" x14ac:dyDescent="0.3">
      <c r="A14" s="22"/>
      <c r="B14" s="15"/>
      <c r="C14" s="15"/>
      <c r="D14" s="16"/>
      <c r="E14" s="15"/>
      <c r="F14" s="15"/>
      <c r="G14" s="17"/>
      <c r="H14" s="21"/>
      <c r="I14" s="21"/>
      <c r="J14" s="15"/>
      <c r="K14" s="15"/>
      <c r="L14" s="15"/>
      <c r="M14" s="15"/>
      <c r="S14"/>
      <c r="T14"/>
      <c r="U14"/>
    </row>
    <row r="15" spans="1:25" x14ac:dyDescent="0.3">
      <c r="A15" s="22"/>
      <c r="B15" s="15"/>
      <c r="C15" s="15"/>
      <c r="D15" s="16"/>
      <c r="E15" s="15"/>
      <c r="F15" s="15"/>
      <c r="G15" s="17"/>
      <c r="H15" s="21"/>
      <c r="I15" s="21"/>
      <c r="J15" s="45"/>
      <c r="K15" s="45"/>
      <c r="L15" s="15"/>
      <c r="M15" s="15"/>
      <c r="S15"/>
      <c r="T15"/>
      <c r="U15"/>
    </row>
    <row r="16" spans="1:25" x14ac:dyDescent="0.3">
      <c r="A16" s="22"/>
      <c r="B16" s="15"/>
      <c r="C16" s="15"/>
      <c r="D16" s="16"/>
      <c r="E16" s="15"/>
      <c r="F16" s="15"/>
      <c r="G16" s="17"/>
      <c r="H16" s="21"/>
      <c r="I16" s="21"/>
      <c r="J16" s="15"/>
      <c r="K16" s="15"/>
      <c r="L16" s="15"/>
      <c r="M16" s="15"/>
      <c r="S16"/>
      <c r="T16"/>
      <c r="U16"/>
    </row>
    <row r="17" spans="1:21" x14ac:dyDescent="0.3">
      <c r="A17" s="22"/>
      <c r="B17" s="15"/>
      <c r="C17" s="15"/>
      <c r="D17" s="16"/>
      <c r="E17" s="15"/>
      <c r="F17" s="15"/>
      <c r="G17" s="17"/>
      <c r="H17" s="21"/>
      <c r="I17" s="21"/>
      <c r="J17" s="15"/>
      <c r="K17" s="15"/>
      <c r="L17" s="15"/>
      <c r="M17" s="15"/>
      <c r="S17"/>
      <c r="T17"/>
      <c r="U17"/>
    </row>
    <row r="18" spans="1:21" x14ac:dyDescent="0.3">
      <c r="A18" s="22"/>
      <c r="B18" s="15"/>
      <c r="C18" s="15"/>
      <c r="D18" s="16"/>
      <c r="E18" s="15"/>
      <c r="F18" s="15"/>
      <c r="G18" s="17"/>
      <c r="H18" s="21"/>
      <c r="I18" s="21"/>
      <c r="J18" s="15"/>
      <c r="K18" s="15"/>
      <c r="L18" s="15"/>
      <c r="M18" s="15"/>
      <c r="S18"/>
      <c r="T18"/>
      <c r="U18"/>
    </row>
    <row r="19" spans="1:21" x14ac:dyDescent="0.3">
      <c r="A19" s="13"/>
      <c r="B19" s="15"/>
      <c r="C19" s="15"/>
      <c r="D19" s="16"/>
      <c r="E19" s="15"/>
      <c r="F19" s="15"/>
      <c r="G19" s="15"/>
      <c r="H19" s="15"/>
      <c r="I19" s="15"/>
      <c r="J19" s="15"/>
      <c r="K19" s="15"/>
      <c r="L19" s="15"/>
      <c r="M19" s="15"/>
      <c r="S19"/>
      <c r="T19"/>
      <c r="U19"/>
    </row>
    <row r="23" spans="1:21" x14ac:dyDescent="0.3">
      <c r="S23"/>
      <c r="T23"/>
      <c r="U23"/>
    </row>
    <row r="24" spans="1:21" x14ac:dyDescent="0.3">
      <c r="S24"/>
      <c r="T24"/>
      <c r="U2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4E77E6-24F4-4C59-A607-188EAB2412A1}">
          <x14:formula1>
            <xm:f>Planilha1!$B$2:$B$8</xm:f>
          </x14:formula1>
          <xm:sqref>F20:F1048576 E1:E1048576</xm:sqref>
        </x14:dataValidation>
        <x14:dataValidation type="list" allowBlank="1" showInputMessage="1" showErrorMessage="1" xr:uid="{5B8BA943-D218-4FDF-97F7-0D6D9E9690DE}">
          <x14:formula1>
            <xm:f>Planilha1!$G$2:$G$22</xm:f>
          </x14:formula1>
          <xm:sqref>F2:F19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5DF6-F4E4-4896-8B66-113A6D1E2F1A}">
  <dimension ref="A1:Y24"/>
  <sheetViews>
    <sheetView showGridLines="0" tabSelected="1" topLeftCell="B1" workbookViewId="0">
      <selection activeCell="F16" sqref="F16"/>
    </sheetView>
  </sheetViews>
  <sheetFormatPr defaultColWidth="9.109375" defaultRowHeight="14.4" x14ac:dyDescent="0.3"/>
  <cols>
    <col min="1" max="1" width="13.109375" style="12" customWidth="1"/>
    <col min="2" max="2" width="22.6640625" style="10" customWidth="1"/>
    <col min="3" max="3" width="40.5546875" style="10" customWidth="1"/>
    <col min="4" max="4" width="14.6640625" style="11" customWidth="1"/>
    <col min="5" max="5" width="26.88671875" style="10" bestFit="1" customWidth="1"/>
    <col min="6" max="6" width="30.33203125" style="10" customWidth="1"/>
    <col min="7" max="7" width="15.109375" style="10" customWidth="1"/>
    <col min="8" max="8" width="11.44140625" style="10" bestFit="1" customWidth="1"/>
    <col min="9" max="9" width="11.109375" style="10" bestFit="1" customWidth="1"/>
    <col min="10" max="11" width="10.5546875" style="10" customWidth="1"/>
    <col min="12" max="12" width="13.5546875" style="10" bestFit="1" customWidth="1"/>
    <col min="13" max="13" width="57.88671875" style="10" customWidth="1"/>
    <col min="14" max="14" width="12.33203125" style="10" bestFit="1" customWidth="1"/>
    <col min="15" max="15" width="13.88671875" style="10" bestFit="1" customWidth="1"/>
    <col min="16" max="18" width="9.109375" style="10"/>
    <col min="19" max="20" width="27" style="10" bestFit="1" customWidth="1"/>
    <col min="21" max="21" width="13.88671875" style="10" bestFit="1" customWidth="1"/>
    <col min="22" max="22" width="7" style="10" bestFit="1" customWidth="1"/>
    <col min="23" max="23" width="11.6640625" style="10" bestFit="1" customWidth="1"/>
    <col min="24" max="24" width="12.88671875" style="10" bestFit="1" customWidth="1"/>
    <col min="25" max="25" width="10.6640625" style="10" bestFit="1" customWidth="1"/>
    <col min="26" max="16384" width="9.109375" style="10"/>
  </cols>
  <sheetData>
    <row r="1" spans="1:25" s="12" customFormat="1" x14ac:dyDescent="0.3">
      <c r="A1" s="13" t="s">
        <v>56</v>
      </c>
      <c r="B1" s="13" t="s">
        <v>57</v>
      </c>
      <c r="C1" s="13" t="s">
        <v>58</v>
      </c>
      <c r="D1" s="14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/>
      <c r="L1" s="13" t="s">
        <v>155</v>
      </c>
      <c r="M1" s="13" t="s">
        <v>172</v>
      </c>
      <c r="N1"/>
      <c r="S1" s="10"/>
      <c r="T1" s="10"/>
      <c r="U1" s="10"/>
      <c r="V1" s="10"/>
    </row>
    <row r="2" spans="1:25" x14ac:dyDescent="0.3">
      <c r="A2" s="22">
        <v>45233</v>
      </c>
      <c r="B2" s="15" t="s">
        <v>138</v>
      </c>
      <c r="C2" s="15" t="s">
        <v>215</v>
      </c>
      <c r="D2" s="16">
        <v>181.83</v>
      </c>
      <c r="E2" s="15" t="s">
        <v>10</v>
      </c>
      <c r="F2" s="15" t="s">
        <v>25</v>
      </c>
      <c r="G2" s="17">
        <v>46107</v>
      </c>
      <c r="H2" s="21">
        <v>45233</v>
      </c>
      <c r="I2" s="21">
        <v>45233</v>
      </c>
      <c r="J2" s="15">
        <v>25506</v>
      </c>
      <c r="K2" s="15" t="s">
        <v>77</v>
      </c>
      <c r="L2" s="15"/>
      <c r="M2" s="15"/>
      <c r="N2" s="43"/>
      <c r="W2"/>
      <c r="X2"/>
      <c r="Y2"/>
    </row>
    <row r="3" spans="1:25" x14ac:dyDescent="0.3">
      <c r="A3" s="22">
        <v>46329</v>
      </c>
      <c r="B3" s="15" t="s">
        <v>138</v>
      </c>
      <c r="C3" s="15" t="s">
        <v>215</v>
      </c>
      <c r="D3" s="16">
        <v>310.5</v>
      </c>
      <c r="E3" s="15" t="s">
        <v>10</v>
      </c>
      <c r="F3" s="15" t="s">
        <v>25</v>
      </c>
      <c r="G3" s="17">
        <v>46107</v>
      </c>
      <c r="H3" s="21">
        <v>46329</v>
      </c>
      <c r="I3" s="21">
        <v>46329</v>
      </c>
      <c r="J3" s="15">
        <v>25502</v>
      </c>
      <c r="K3" s="15" t="s">
        <v>77</v>
      </c>
      <c r="L3" s="15"/>
      <c r="M3" s="15"/>
      <c r="N3" s="43"/>
      <c r="S3"/>
      <c r="T3"/>
      <c r="U3"/>
      <c r="W3"/>
      <c r="X3"/>
      <c r="Y3"/>
    </row>
    <row r="4" spans="1:25" x14ac:dyDescent="0.3">
      <c r="A4" s="22">
        <v>46359</v>
      </c>
      <c r="B4" s="15" t="s">
        <v>206</v>
      </c>
      <c r="C4" s="15" t="s">
        <v>220</v>
      </c>
      <c r="D4" s="16">
        <v>52990</v>
      </c>
      <c r="E4" s="15" t="s">
        <v>8</v>
      </c>
      <c r="F4" s="15" t="s">
        <v>19</v>
      </c>
      <c r="G4" s="17">
        <v>46107</v>
      </c>
      <c r="H4" s="21">
        <v>46359</v>
      </c>
      <c r="I4" s="21" t="s">
        <v>221</v>
      </c>
      <c r="J4" s="15">
        <v>30942</v>
      </c>
      <c r="K4" s="15"/>
      <c r="L4" s="15"/>
      <c r="M4" s="15" t="s">
        <v>222</v>
      </c>
      <c r="N4" s="43"/>
      <c r="S4"/>
      <c r="T4"/>
      <c r="U4"/>
      <c r="W4"/>
      <c r="X4"/>
      <c r="Y4"/>
    </row>
    <row r="5" spans="1:25" x14ac:dyDescent="0.3">
      <c r="A5" s="22"/>
      <c r="B5" s="15" t="s">
        <v>206</v>
      </c>
      <c r="C5" s="15" t="s">
        <v>220</v>
      </c>
      <c r="D5" s="16">
        <v>52990</v>
      </c>
      <c r="E5" s="15" t="s">
        <v>8</v>
      </c>
      <c r="F5" s="15" t="s">
        <v>19</v>
      </c>
      <c r="G5" s="17">
        <v>46107</v>
      </c>
      <c r="H5" s="21"/>
      <c r="I5" s="21"/>
      <c r="J5" s="15"/>
      <c r="K5" s="15"/>
      <c r="L5" s="15"/>
      <c r="M5" s="15" t="s">
        <v>222</v>
      </c>
      <c r="N5" s="43"/>
      <c r="S5"/>
      <c r="T5"/>
      <c r="U5"/>
      <c r="W5"/>
      <c r="X5"/>
      <c r="Y5"/>
    </row>
    <row r="6" spans="1:25" x14ac:dyDescent="0.3">
      <c r="A6" s="22">
        <v>46099</v>
      </c>
      <c r="B6" s="15" t="s">
        <v>206</v>
      </c>
      <c r="C6" s="15" t="s">
        <v>217</v>
      </c>
      <c r="D6" s="16">
        <v>50000</v>
      </c>
      <c r="E6" s="15" t="s">
        <v>10</v>
      </c>
      <c r="F6" s="15" t="s">
        <v>24</v>
      </c>
      <c r="G6" s="17">
        <v>46099</v>
      </c>
      <c r="H6" s="21">
        <v>46099</v>
      </c>
      <c r="I6" s="21">
        <v>46099</v>
      </c>
      <c r="J6" s="78">
        <v>31024</v>
      </c>
      <c r="K6" s="15" t="s">
        <v>211</v>
      </c>
      <c r="L6" s="15" t="s">
        <v>223</v>
      </c>
      <c r="M6" s="15"/>
      <c r="N6" s="43"/>
      <c r="S6"/>
      <c r="T6"/>
      <c r="U6"/>
      <c r="W6"/>
      <c r="X6"/>
      <c r="Y6"/>
    </row>
    <row r="7" spans="1:25" x14ac:dyDescent="0.3">
      <c r="A7" s="22"/>
      <c r="B7" s="15"/>
      <c r="C7" s="15"/>
      <c r="D7" s="16"/>
      <c r="E7" s="15"/>
      <c r="F7" s="15"/>
      <c r="G7" s="17"/>
      <c r="H7" s="21"/>
      <c r="I7" s="21"/>
      <c r="J7" s="15"/>
      <c r="K7" s="15"/>
      <c r="L7" s="15"/>
      <c r="M7" s="15"/>
      <c r="R7" t="s">
        <v>120</v>
      </c>
      <c r="S7" t="s">
        <v>193</v>
      </c>
      <c r="T7">
        <v>1500</v>
      </c>
      <c r="Y7"/>
    </row>
    <row r="8" spans="1:25" x14ac:dyDescent="0.3">
      <c r="A8" s="13"/>
      <c r="B8" s="15"/>
      <c r="C8" s="15"/>
      <c r="D8" s="16"/>
      <c r="E8" s="15"/>
      <c r="F8" s="15"/>
      <c r="G8" s="17"/>
      <c r="H8" s="15"/>
      <c r="I8" s="15"/>
      <c r="J8" s="15"/>
      <c r="K8" s="15"/>
      <c r="L8" s="15"/>
      <c r="M8" s="15"/>
      <c r="R8"/>
      <c r="S8"/>
      <c r="T8"/>
      <c r="Y8"/>
    </row>
    <row r="9" spans="1:25" x14ac:dyDescent="0.3">
      <c r="A9" s="22"/>
      <c r="B9" s="15"/>
      <c r="C9" s="15"/>
      <c r="D9" s="16"/>
      <c r="E9" s="15"/>
      <c r="F9" s="15"/>
      <c r="G9" s="17"/>
      <c r="H9" s="21"/>
      <c r="I9" s="21"/>
      <c r="J9" s="15"/>
      <c r="K9" s="15"/>
      <c r="L9" s="15"/>
      <c r="M9" s="15"/>
      <c r="S9"/>
      <c r="T9"/>
      <c r="U9"/>
    </row>
    <row r="10" spans="1:25" x14ac:dyDescent="0.3">
      <c r="A10" s="22"/>
      <c r="B10" s="15" t="s">
        <v>209</v>
      </c>
      <c r="C10" s="15" t="s">
        <v>210</v>
      </c>
      <c r="D10" s="16">
        <v>490.2</v>
      </c>
      <c r="E10" s="15" t="s">
        <v>10</v>
      </c>
      <c r="F10" s="15" t="s">
        <v>25</v>
      </c>
      <c r="G10" s="17"/>
      <c r="H10" s="21"/>
      <c r="I10" s="21"/>
      <c r="J10" s="15"/>
      <c r="K10" s="15"/>
      <c r="L10" s="15"/>
      <c r="M10" s="15"/>
      <c r="S10"/>
      <c r="T10"/>
      <c r="U10"/>
    </row>
    <row r="11" spans="1:25" x14ac:dyDescent="0.3">
      <c r="A11" s="13"/>
      <c r="B11" s="15" t="s">
        <v>214</v>
      </c>
      <c r="C11" s="15" t="s">
        <v>219</v>
      </c>
      <c r="D11" s="16">
        <v>682.2</v>
      </c>
      <c r="E11" s="15" t="s">
        <v>10</v>
      </c>
      <c r="F11" s="15" t="s">
        <v>25</v>
      </c>
      <c r="G11" s="17"/>
      <c r="H11" s="15"/>
      <c r="I11" s="15"/>
      <c r="J11" s="15"/>
      <c r="K11" s="15"/>
      <c r="L11" s="15"/>
      <c r="M11" s="15"/>
      <c r="S11"/>
      <c r="T11"/>
      <c r="U11"/>
    </row>
    <row r="12" spans="1:25" x14ac:dyDescent="0.3">
      <c r="A12" s="22">
        <v>46108</v>
      </c>
      <c r="B12" s="15" t="s">
        <v>224</v>
      </c>
      <c r="C12" s="15" t="s">
        <v>225</v>
      </c>
      <c r="D12" s="79">
        <v>2900</v>
      </c>
      <c r="E12" s="15" t="s">
        <v>2</v>
      </c>
      <c r="F12" s="15" t="s">
        <v>9</v>
      </c>
      <c r="G12" s="17">
        <v>46108</v>
      </c>
      <c r="H12" s="21">
        <v>46108</v>
      </c>
      <c r="I12" s="21">
        <v>46108</v>
      </c>
      <c r="J12" s="80">
        <v>197</v>
      </c>
      <c r="K12" s="15" t="s">
        <v>211</v>
      </c>
      <c r="L12" s="15" t="s">
        <v>185</v>
      </c>
      <c r="M12" s="15"/>
      <c r="S12"/>
      <c r="T12"/>
      <c r="U12"/>
    </row>
    <row r="13" spans="1:25" x14ac:dyDescent="0.3">
      <c r="A13" s="22">
        <v>46108</v>
      </c>
      <c r="B13" s="15" t="s">
        <v>182</v>
      </c>
      <c r="C13" s="15" t="s">
        <v>226</v>
      </c>
      <c r="D13" s="16">
        <v>11600</v>
      </c>
      <c r="E13" s="15" t="s">
        <v>2</v>
      </c>
      <c r="F13" s="15" t="s">
        <v>9</v>
      </c>
      <c r="G13" s="17">
        <v>46108</v>
      </c>
      <c r="H13" s="21">
        <v>46108</v>
      </c>
      <c r="I13" s="21">
        <v>46108</v>
      </c>
      <c r="J13" s="15">
        <v>47</v>
      </c>
      <c r="K13" s="15" t="s">
        <v>211</v>
      </c>
      <c r="L13" s="15" t="s">
        <v>183</v>
      </c>
      <c r="M13" s="15"/>
      <c r="S13"/>
      <c r="T13"/>
      <c r="U13"/>
    </row>
    <row r="14" spans="1:25" x14ac:dyDescent="0.3">
      <c r="A14" s="22">
        <v>46108</v>
      </c>
      <c r="B14" s="15" t="s">
        <v>168</v>
      </c>
      <c r="C14" s="15" t="s">
        <v>226</v>
      </c>
      <c r="D14" s="16">
        <v>3800</v>
      </c>
      <c r="E14" s="15" t="s">
        <v>2</v>
      </c>
      <c r="F14" s="15" t="s">
        <v>9</v>
      </c>
      <c r="G14" s="17">
        <v>46108</v>
      </c>
      <c r="H14" s="21">
        <v>46108</v>
      </c>
      <c r="I14" s="21">
        <v>46108</v>
      </c>
      <c r="J14" s="15">
        <v>34</v>
      </c>
      <c r="K14" s="15" t="s">
        <v>211</v>
      </c>
      <c r="L14" s="15" t="s">
        <v>202</v>
      </c>
      <c r="M14" s="15"/>
      <c r="S14"/>
      <c r="T14"/>
      <c r="U14"/>
    </row>
    <row r="15" spans="1:25" x14ac:dyDescent="0.3">
      <c r="A15" s="22"/>
      <c r="B15" s="15"/>
      <c r="C15" s="15"/>
      <c r="D15" s="16"/>
      <c r="E15" s="15"/>
      <c r="F15" s="15"/>
      <c r="G15" s="17"/>
      <c r="H15" s="21"/>
      <c r="I15" s="21"/>
      <c r="J15" s="15"/>
      <c r="K15" s="15"/>
      <c r="L15" s="15"/>
      <c r="M15" s="15"/>
      <c r="S15"/>
      <c r="T15"/>
      <c r="U15"/>
    </row>
    <row r="16" spans="1:25" x14ac:dyDescent="0.3">
      <c r="A16" s="22"/>
      <c r="B16" s="15"/>
      <c r="C16" s="15"/>
      <c r="D16" s="16"/>
      <c r="E16" s="15"/>
      <c r="F16" s="15"/>
      <c r="G16" s="17"/>
      <c r="H16" s="21"/>
      <c r="I16" s="21"/>
      <c r="J16" s="15"/>
      <c r="K16" s="15"/>
      <c r="L16" s="15"/>
      <c r="M16" s="15"/>
      <c r="S16"/>
      <c r="T16"/>
      <c r="U16"/>
    </row>
    <row r="17" spans="1:21" x14ac:dyDescent="0.3">
      <c r="A17" s="22"/>
      <c r="B17" s="15"/>
      <c r="C17" s="15"/>
      <c r="D17" s="16"/>
      <c r="E17" s="15"/>
      <c r="F17" s="15"/>
      <c r="G17" s="17"/>
      <c r="H17" s="21"/>
      <c r="I17" s="21"/>
      <c r="J17" s="15"/>
      <c r="K17" s="15"/>
      <c r="L17" s="15"/>
      <c r="M17" s="15"/>
      <c r="S17"/>
      <c r="T17"/>
      <c r="U17"/>
    </row>
    <row r="18" spans="1:21" x14ac:dyDescent="0.3">
      <c r="A18" s="22"/>
      <c r="B18" s="15"/>
      <c r="C18" s="15"/>
      <c r="D18" s="16"/>
      <c r="E18" s="15"/>
      <c r="F18" s="15"/>
      <c r="G18" s="17"/>
      <c r="H18" s="21"/>
      <c r="I18" s="21"/>
      <c r="J18" s="15"/>
      <c r="K18" s="15"/>
      <c r="L18" s="15"/>
      <c r="M18" s="15"/>
      <c r="S18"/>
      <c r="T18"/>
      <c r="U18"/>
    </row>
    <row r="19" spans="1:21" x14ac:dyDescent="0.3">
      <c r="A19" s="13"/>
      <c r="B19" s="15"/>
      <c r="C19" s="15"/>
      <c r="D19" s="16">
        <f>SUM(D2:D18)</f>
        <v>175944.73000000004</v>
      </c>
      <c r="E19" s="15"/>
      <c r="F19" s="15"/>
      <c r="G19" s="15"/>
      <c r="H19" s="15"/>
      <c r="I19" s="15"/>
      <c r="J19" s="15"/>
      <c r="K19" s="15"/>
      <c r="L19" s="15"/>
      <c r="M19" s="15"/>
      <c r="S19"/>
      <c r="T19"/>
      <c r="U19"/>
    </row>
    <row r="23" spans="1:21" x14ac:dyDescent="0.3">
      <c r="S23"/>
      <c r="T23"/>
      <c r="U23"/>
    </row>
    <row r="24" spans="1:21" x14ac:dyDescent="0.3">
      <c r="S24"/>
      <c r="T24"/>
      <c r="U2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A413799-DACA-402E-93CB-EC7828C9486E}">
          <x14:formula1>
            <xm:f>Planilha1!$B$2:$B$8</xm:f>
          </x14:formula1>
          <xm:sqref>F20:F1048576 E1:E1048576</xm:sqref>
        </x14:dataValidation>
        <x14:dataValidation type="list" allowBlank="1" showInputMessage="1" showErrorMessage="1" xr:uid="{1242ABAA-7E9E-4D81-8C94-5DE7AC4953BD}">
          <x14:formula1>
            <xm:f>Planilha1!$G$2:$G$22</xm:f>
          </x14:formula1>
          <xm:sqref>F2:F19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18eb61-b32a-4bb7-a3d2-c235158ea856">
      <Terms xmlns="http://schemas.microsoft.com/office/infopath/2007/PartnerControls"/>
    </lcf76f155ced4ddcb4097134ff3c332f>
    <TaxCatchAll xmlns="a14ce596-85d1-4de6-9d46-3f052e6ae1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263B1FFAFD4428DBF1CD8E9B7BD59" ma:contentTypeVersion="21" ma:contentTypeDescription="Create a new document." ma:contentTypeScope="" ma:versionID="68cc79e3b906d240ed89279c2b226add">
  <xsd:schema xmlns:xsd="http://www.w3.org/2001/XMLSchema" xmlns:xs="http://www.w3.org/2001/XMLSchema" xmlns:p="http://schemas.microsoft.com/office/2006/metadata/properties" xmlns:ns2="3718eb61-b32a-4bb7-a3d2-c235158ea856" xmlns:ns3="a14ce596-85d1-4de6-9d46-3f052e6ae14e" targetNamespace="http://schemas.microsoft.com/office/2006/metadata/properties" ma:root="true" ma:fieldsID="f911708c93b216fa2e0b0ffa24c0fc31" ns2:_="" ns3:_="">
    <xsd:import namespace="3718eb61-b32a-4bb7-a3d2-c235158ea856"/>
    <xsd:import namespace="a14ce596-85d1-4de6-9d46-3f052e6ae1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8eb61-b32a-4bb7-a3d2-c235158ea8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95b7e88-aa0b-4bdf-91db-f72211dc71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4ce596-85d1-4de6-9d46-3f052e6ae14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a086770-0844-462a-96f5-12cbef879637}" ma:internalName="TaxCatchAll" ma:showField="CatchAllData" ma:web="a14ce596-85d1-4de6-9d46-3f052e6ae1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E7E11A-6C3A-44B3-87CA-3B232171E8E9}">
  <ds:schemaRefs>
    <ds:schemaRef ds:uri="http://schemas.microsoft.com/office/2006/metadata/properties"/>
    <ds:schemaRef ds:uri="http://purl.org/dc/elements/1.1/"/>
    <ds:schemaRef ds:uri="http://purl.org/dc/dcmitype/"/>
    <ds:schemaRef ds:uri="a14ce596-85d1-4de6-9d46-3f052e6ae14e"/>
    <ds:schemaRef ds:uri="3718eb61-b32a-4bb7-a3d2-c235158ea856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F788B13-0FDD-4125-B425-0544EA14B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8eb61-b32a-4bb7-a3d2-c235158ea856"/>
    <ds:schemaRef ds:uri="a14ce596-85d1-4de6-9d46-3f052e6ae1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DE36D4-EC0B-4DB0-ACBE-FFF01F0A4B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Planilha1</vt:lpstr>
      <vt:lpstr>Resumo</vt:lpstr>
      <vt:lpstr>Overview (2)</vt:lpstr>
      <vt:lpstr>Overview</vt:lpstr>
      <vt:lpstr>Sep.25</vt:lpstr>
      <vt:lpstr>Oct.25</vt:lpstr>
      <vt:lpstr>Nov.25</vt:lpstr>
      <vt:lpstr>Dez.25 </vt:lpstr>
      <vt:lpstr>Jan.26</vt:lpstr>
      <vt:lpstr>Feb.26</vt:lpstr>
      <vt:lpstr>Mar.26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Figueira</dc:creator>
  <cp:keywords/>
  <dc:description/>
  <cp:lastModifiedBy>Felipe Figueira</cp:lastModifiedBy>
  <cp:revision/>
  <dcterms:created xsi:type="dcterms:W3CDTF">2025-09-01T17:43:25Z</dcterms:created>
  <dcterms:modified xsi:type="dcterms:W3CDTF">2026-03-30T19:28:25Z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0x0101004A6263B1FFAFD4428DBF1CD8E9B7BD59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{"FileActivityType":"9","FileActivityTimeStamp":"2025-09-11T13:23:47.990Z","FileActivityUsersOnPage":[{"DisplayName":"Louise Fletcher Lopes","Id":"llopes@doris.ai"},{"DisplayName":"Fernando Morato","Id":"fmorato@doris.ai"}],"FileActivityNavigationId":null}</vt:lpwstr>
  </property>
  <property fmtid="{D5CDD505-2E9C-101B-9397-08002B2CF9AE}" pid="7" name="TriggerFlowInfo">
    <vt:lpwstr/>
  </property>
</Properties>
</file>